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nestle-my.sharepoint.com/personal/raphael_babatunde_ng_nestle_com/Documents/"/>
    </mc:Choice>
  </mc:AlternateContent>
  <xr:revisionPtr revIDLastSave="3439" documentId="13_ncr:1_{2CDF29E7-DBB4-4382-AD80-B41E57FEA12D}" xr6:coauthVersionLast="47" xr6:coauthVersionMax="47" xr10:uidLastSave="{7C7D3F8F-B64D-4830-8280-40223CDD8F42}"/>
  <bookViews>
    <workbookView xWindow="-120" yWindow="-120" windowWidth="25440" windowHeight="15390" activeTab="3" xr2:uid="{00000000-000D-0000-FFFF-FFFF00000000}"/>
  </bookViews>
  <sheets>
    <sheet name="Pivot" sheetId="12" r:id="rId1"/>
    <sheet name="Work Sheet" sheetId="7" r:id="rId2"/>
    <sheet name="ASSIGNMENT" sheetId="8" r:id="rId3"/>
    <sheet name="Dashboard1" sheetId="15" r:id="rId4"/>
  </sheets>
  <definedNames>
    <definedName name="Slicer_Age_Range">#N/A</definedName>
    <definedName name="Slicer_Education1">#N/A</definedName>
    <definedName name="Slicer_Gender1">#N/A</definedName>
    <definedName name="Slicer_Income_Range1">#N/A</definedName>
    <definedName name="Slicer_Purchased_Bike">#N/A</definedName>
    <definedName name="Slicer_Region1">#N/A</definedName>
  </definedNames>
  <calcPr calcId="191029"/>
  <pivotCaches>
    <pivotCache cacheId="158"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7" l="1"/>
  <c r="P3" i="7"/>
  <c r="P4" i="7"/>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30" i="7"/>
  <c r="P231" i="7"/>
  <c r="P232" i="7"/>
  <c r="P233" i="7"/>
  <c r="P234" i="7"/>
  <c r="P235" i="7"/>
  <c r="P236" i="7"/>
  <c r="P237" i="7"/>
  <c r="P238" i="7"/>
  <c r="P239" i="7"/>
  <c r="P240" i="7"/>
  <c r="P241" i="7"/>
  <c r="P242" i="7"/>
  <c r="P243" i="7"/>
  <c r="P244" i="7"/>
  <c r="P245" i="7"/>
  <c r="P246" i="7"/>
  <c r="P247" i="7"/>
  <c r="P248" i="7"/>
  <c r="P249" i="7"/>
  <c r="P250" i="7"/>
  <c r="P251" i="7"/>
  <c r="P252" i="7"/>
  <c r="P253" i="7"/>
  <c r="P254" i="7"/>
  <c r="P255" i="7"/>
  <c r="P256" i="7"/>
  <c r="P257" i="7"/>
  <c r="P258" i="7"/>
  <c r="P259" i="7"/>
  <c r="P260" i="7"/>
  <c r="P261" i="7"/>
  <c r="P262" i="7"/>
  <c r="P263" i="7"/>
  <c r="P264" i="7"/>
  <c r="P265" i="7"/>
  <c r="P266" i="7"/>
  <c r="P267" i="7"/>
  <c r="P268" i="7"/>
  <c r="P269" i="7"/>
  <c r="P270" i="7"/>
  <c r="P271" i="7"/>
  <c r="P272" i="7"/>
  <c r="P273" i="7"/>
  <c r="P274" i="7"/>
  <c r="P275" i="7"/>
  <c r="P276" i="7"/>
  <c r="P277" i="7"/>
  <c r="P278" i="7"/>
  <c r="P279" i="7"/>
  <c r="P280" i="7"/>
  <c r="P281" i="7"/>
  <c r="P282" i="7"/>
  <c r="P283" i="7"/>
  <c r="P284" i="7"/>
  <c r="P285" i="7"/>
  <c r="P286" i="7"/>
  <c r="P287" i="7"/>
  <c r="P288" i="7"/>
  <c r="P289" i="7"/>
  <c r="P290" i="7"/>
  <c r="P291" i="7"/>
  <c r="P292" i="7"/>
  <c r="P293" i="7"/>
  <c r="P294" i="7"/>
  <c r="P295" i="7"/>
  <c r="P296" i="7"/>
  <c r="P297" i="7"/>
  <c r="P298" i="7"/>
  <c r="P299" i="7"/>
  <c r="P300" i="7"/>
  <c r="P301" i="7"/>
  <c r="P302" i="7"/>
  <c r="P303" i="7"/>
  <c r="P304" i="7"/>
  <c r="P305" i="7"/>
  <c r="P306" i="7"/>
  <c r="P307" i="7"/>
  <c r="P308" i="7"/>
  <c r="P309" i="7"/>
  <c r="P310" i="7"/>
  <c r="P311" i="7"/>
  <c r="P312" i="7"/>
  <c r="P313" i="7"/>
  <c r="P314" i="7"/>
  <c r="P315" i="7"/>
  <c r="P316" i="7"/>
  <c r="P317" i="7"/>
  <c r="P318" i="7"/>
  <c r="P319" i="7"/>
  <c r="P320" i="7"/>
  <c r="P321" i="7"/>
  <c r="P322" i="7"/>
  <c r="P323" i="7"/>
  <c r="P324" i="7"/>
  <c r="P325" i="7"/>
  <c r="P326" i="7"/>
  <c r="P327" i="7"/>
  <c r="P328" i="7"/>
  <c r="P329" i="7"/>
  <c r="P330" i="7"/>
  <c r="P331" i="7"/>
  <c r="P332" i="7"/>
  <c r="P333" i="7"/>
  <c r="P334" i="7"/>
  <c r="P335" i="7"/>
  <c r="P336" i="7"/>
  <c r="P337" i="7"/>
  <c r="P338" i="7"/>
  <c r="P339" i="7"/>
  <c r="P340" i="7"/>
  <c r="P341" i="7"/>
  <c r="P342" i="7"/>
  <c r="P343" i="7"/>
  <c r="P344" i="7"/>
  <c r="P345" i="7"/>
  <c r="P346" i="7"/>
  <c r="P347" i="7"/>
  <c r="P348" i="7"/>
  <c r="P349" i="7"/>
  <c r="P350" i="7"/>
  <c r="P351" i="7"/>
  <c r="P352" i="7"/>
  <c r="P353" i="7"/>
  <c r="P354" i="7"/>
  <c r="P355" i="7"/>
  <c r="P356" i="7"/>
  <c r="P357" i="7"/>
  <c r="P358" i="7"/>
  <c r="P359" i="7"/>
  <c r="P360" i="7"/>
  <c r="P361" i="7"/>
  <c r="P362" i="7"/>
  <c r="P363" i="7"/>
  <c r="P364" i="7"/>
  <c r="P365" i="7"/>
  <c r="P366" i="7"/>
  <c r="P367" i="7"/>
  <c r="P368" i="7"/>
  <c r="P369" i="7"/>
  <c r="P370" i="7"/>
  <c r="P371" i="7"/>
  <c r="P372" i="7"/>
  <c r="P373" i="7"/>
  <c r="P374" i="7"/>
  <c r="P375" i="7"/>
  <c r="P376" i="7"/>
  <c r="P377" i="7"/>
  <c r="P378" i="7"/>
  <c r="P379" i="7"/>
  <c r="P380" i="7"/>
  <c r="P381" i="7"/>
  <c r="P382" i="7"/>
  <c r="P383" i="7"/>
  <c r="P384" i="7"/>
  <c r="P385" i="7"/>
  <c r="P386" i="7"/>
  <c r="P387" i="7"/>
  <c r="P388" i="7"/>
  <c r="P389" i="7"/>
  <c r="P390" i="7"/>
  <c r="P391" i="7"/>
  <c r="P392" i="7"/>
  <c r="P393" i="7"/>
  <c r="P394" i="7"/>
  <c r="P395" i="7"/>
  <c r="P396" i="7"/>
  <c r="P397" i="7"/>
  <c r="P398" i="7"/>
  <c r="P399" i="7"/>
  <c r="P400" i="7"/>
  <c r="P401" i="7"/>
  <c r="P402" i="7"/>
  <c r="P403" i="7"/>
  <c r="P404" i="7"/>
  <c r="P405" i="7"/>
  <c r="P406" i="7"/>
  <c r="P407" i="7"/>
  <c r="P408" i="7"/>
  <c r="P409" i="7"/>
  <c r="P410" i="7"/>
  <c r="P411" i="7"/>
  <c r="P412" i="7"/>
  <c r="P413" i="7"/>
  <c r="P414" i="7"/>
  <c r="P415" i="7"/>
  <c r="P416" i="7"/>
  <c r="P417" i="7"/>
  <c r="P418" i="7"/>
  <c r="P419" i="7"/>
  <c r="P420" i="7"/>
  <c r="P421" i="7"/>
  <c r="P422" i="7"/>
  <c r="P423" i="7"/>
  <c r="P424" i="7"/>
  <c r="P425" i="7"/>
  <c r="P426" i="7"/>
  <c r="P427" i="7"/>
  <c r="P428" i="7"/>
  <c r="P429" i="7"/>
  <c r="P430" i="7"/>
  <c r="P431" i="7"/>
  <c r="P432" i="7"/>
  <c r="P433" i="7"/>
  <c r="P434" i="7"/>
  <c r="P435" i="7"/>
  <c r="P436" i="7"/>
  <c r="P437" i="7"/>
  <c r="P438" i="7"/>
  <c r="P439" i="7"/>
  <c r="P440" i="7"/>
  <c r="P441" i="7"/>
  <c r="P442" i="7"/>
  <c r="P443" i="7"/>
  <c r="P444" i="7"/>
  <c r="P445" i="7"/>
  <c r="P446" i="7"/>
  <c r="P447" i="7"/>
  <c r="P448" i="7"/>
  <c r="P449" i="7"/>
  <c r="P450" i="7"/>
  <c r="P451" i="7"/>
  <c r="P452" i="7"/>
  <c r="P453" i="7"/>
  <c r="P454" i="7"/>
  <c r="P455" i="7"/>
  <c r="P456" i="7"/>
  <c r="P457" i="7"/>
  <c r="P458" i="7"/>
  <c r="P459" i="7"/>
  <c r="P460" i="7"/>
  <c r="P461" i="7"/>
  <c r="P462" i="7"/>
  <c r="P463" i="7"/>
  <c r="P464" i="7"/>
  <c r="P465" i="7"/>
  <c r="P466" i="7"/>
  <c r="P467" i="7"/>
  <c r="P468" i="7"/>
  <c r="P469" i="7"/>
  <c r="P470" i="7"/>
  <c r="P471" i="7"/>
  <c r="P472" i="7"/>
  <c r="P473" i="7"/>
  <c r="P474" i="7"/>
  <c r="P475" i="7"/>
  <c r="P476" i="7"/>
  <c r="P477" i="7"/>
  <c r="P478" i="7"/>
  <c r="P479" i="7"/>
  <c r="P480" i="7"/>
  <c r="P481" i="7"/>
  <c r="P482" i="7"/>
  <c r="P483" i="7"/>
  <c r="P484" i="7"/>
  <c r="P485" i="7"/>
  <c r="P486" i="7"/>
  <c r="P487" i="7"/>
  <c r="P488" i="7"/>
  <c r="P489" i="7"/>
  <c r="P490" i="7"/>
  <c r="P491" i="7"/>
  <c r="P492" i="7"/>
  <c r="P493" i="7"/>
  <c r="P494" i="7"/>
  <c r="P495" i="7"/>
  <c r="P496" i="7"/>
  <c r="P497" i="7"/>
  <c r="P498" i="7"/>
  <c r="P499" i="7"/>
  <c r="P500" i="7"/>
  <c r="P501" i="7"/>
  <c r="P502" i="7"/>
  <c r="P503" i="7"/>
  <c r="P504" i="7"/>
  <c r="P505" i="7"/>
  <c r="P506" i="7"/>
  <c r="P507" i="7"/>
  <c r="P508" i="7"/>
  <c r="P509" i="7"/>
  <c r="P510" i="7"/>
  <c r="P511" i="7"/>
  <c r="P512" i="7"/>
  <c r="P513" i="7"/>
  <c r="P514" i="7"/>
  <c r="P515" i="7"/>
  <c r="P516" i="7"/>
  <c r="P517" i="7"/>
  <c r="P518" i="7"/>
  <c r="P519" i="7"/>
  <c r="P520" i="7"/>
  <c r="P521" i="7"/>
  <c r="P522" i="7"/>
  <c r="P523" i="7"/>
  <c r="P524" i="7"/>
  <c r="P525" i="7"/>
  <c r="P526" i="7"/>
  <c r="P527" i="7"/>
  <c r="P528" i="7"/>
  <c r="P529" i="7"/>
  <c r="P530" i="7"/>
  <c r="P531" i="7"/>
  <c r="P532" i="7"/>
  <c r="P533" i="7"/>
  <c r="P534" i="7"/>
  <c r="P535" i="7"/>
  <c r="P536" i="7"/>
  <c r="P537" i="7"/>
  <c r="P538" i="7"/>
  <c r="P539" i="7"/>
  <c r="P540" i="7"/>
  <c r="P541" i="7"/>
  <c r="P542" i="7"/>
  <c r="P543" i="7"/>
  <c r="P544" i="7"/>
  <c r="P545" i="7"/>
  <c r="P546" i="7"/>
  <c r="P547" i="7"/>
  <c r="P548" i="7"/>
  <c r="P549" i="7"/>
  <c r="P550" i="7"/>
  <c r="P551" i="7"/>
  <c r="P552" i="7"/>
  <c r="P553" i="7"/>
  <c r="P554" i="7"/>
  <c r="P555" i="7"/>
  <c r="P556" i="7"/>
  <c r="P557" i="7"/>
  <c r="P558" i="7"/>
  <c r="P559" i="7"/>
  <c r="P560" i="7"/>
  <c r="P561" i="7"/>
  <c r="P562" i="7"/>
  <c r="P563" i="7"/>
  <c r="P564" i="7"/>
  <c r="P565" i="7"/>
  <c r="P566" i="7"/>
  <c r="P567" i="7"/>
  <c r="P568" i="7"/>
  <c r="P569" i="7"/>
  <c r="P570" i="7"/>
  <c r="P571" i="7"/>
  <c r="P572" i="7"/>
  <c r="P573" i="7"/>
  <c r="P574" i="7"/>
  <c r="P575" i="7"/>
  <c r="P576" i="7"/>
  <c r="P577" i="7"/>
  <c r="P578" i="7"/>
  <c r="P579" i="7"/>
  <c r="P580" i="7"/>
  <c r="P581" i="7"/>
  <c r="P582" i="7"/>
  <c r="P583" i="7"/>
  <c r="P584" i="7"/>
  <c r="P585" i="7"/>
  <c r="P586" i="7"/>
  <c r="P587" i="7"/>
  <c r="P588" i="7"/>
  <c r="P589" i="7"/>
  <c r="P590" i="7"/>
  <c r="P591" i="7"/>
  <c r="P592" i="7"/>
  <c r="P593" i="7"/>
  <c r="P594" i="7"/>
  <c r="P595" i="7"/>
  <c r="P596" i="7"/>
  <c r="P597" i="7"/>
  <c r="P598" i="7"/>
  <c r="P599" i="7"/>
  <c r="P600" i="7"/>
  <c r="P601" i="7"/>
  <c r="P602" i="7"/>
  <c r="P603" i="7"/>
  <c r="P604" i="7"/>
  <c r="P605" i="7"/>
  <c r="P606" i="7"/>
  <c r="P607" i="7"/>
  <c r="P608" i="7"/>
  <c r="P609" i="7"/>
  <c r="P610" i="7"/>
  <c r="P611" i="7"/>
  <c r="P612" i="7"/>
  <c r="P613" i="7"/>
  <c r="P614" i="7"/>
  <c r="P615" i="7"/>
  <c r="P616" i="7"/>
  <c r="P617" i="7"/>
  <c r="P618" i="7"/>
  <c r="P619" i="7"/>
  <c r="P620" i="7"/>
  <c r="P621" i="7"/>
  <c r="P622" i="7"/>
  <c r="P623" i="7"/>
  <c r="P624" i="7"/>
  <c r="P625" i="7"/>
  <c r="P626" i="7"/>
  <c r="P627" i="7"/>
  <c r="P628" i="7"/>
  <c r="P629" i="7"/>
  <c r="P630" i="7"/>
  <c r="P631" i="7"/>
  <c r="P632" i="7"/>
  <c r="P633" i="7"/>
  <c r="P634" i="7"/>
  <c r="P635" i="7"/>
  <c r="P636" i="7"/>
  <c r="P637" i="7"/>
  <c r="P638" i="7"/>
  <c r="P639" i="7"/>
  <c r="P640" i="7"/>
  <c r="P641" i="7"/>
  <c r="P642" i="7"/>
  <c r="P643" i="7"/>
  <c r="P644" i="7"/>
  <c r="P645" i="7"/>
  <c r="P646" i="7"/>
  <c r="P647" i="7"/>
  <c r="P648" i="7"/>
  <c r="P649" i="7"/>
  <c r="P650" i="7"/>
  <c r="P651" i="7"/>
  <c r="P652" i="7"/>
  <c r="P653" i="7"/>
  <c r="P654" i="7"/>
  <c r="P655" i="7"/>
  <c r="P656" i="7"/>
  <c r="P657" i="7"/>
  <c r="P658" i="7"/>
  <c r="P659" i="7"/>
  <c r="P660" i="7"/>
  <c r="P661" i="7"/>
  <c r="P662" i="7"/>
  <c r="P663" i="7"/>
  <c r="P664" i="7"/>
  <c r="P665" i="7"/>
  <c r="P666" i="7"/>
  <c r="P667" i="7"/>
  <c r="P668" i="7"/>
  <c r="P669" i="7"/>
  <c r="P670" i="7"/>
  <c r="P671" i="7"/>
  <c r="P672" i="7"/>
  <c r="P673" i="7"/>
  <c r="P674" i="7"/>
  <c r="P675" i="7"/>
  <c r="P676" i="7"/>
  <c r="P677" i="7"/>
  <c r="P678" i="7"/>
  <c r="P679" i="7"/>
  <c r="P680" i="7"/>
  <c r="P681" i="7"/>
  <c r="P682" i="7"/>
  <c r="P683" i="7"/>
  <c r="P684" i="7"/>
  <c r="P685" i="7"/>
  <c r="P686" i="7"/>
  <c r="P687" i="7"/>
  <c r="P688" i="7"/>
  <c r="P689" i="7"/>
  <c r="P690" i="7"/>
  <c r="P691" i="7"/>
  <c r="P692" i="7"/>
  <c r="P693" i="7"/>
  <c r="P694" i="7"/>
  <c r="P695" i="7"/>
  <c r="P696" i="7"/>
  <c r="P697" i="7"/>
  <c r="P698" i="7"/>
  <c r="P699" i="7"/>
  <c r="P700" i="7"/>
  <c r="P701" i="7"/>
  <c r="P702" i="7"/>
  <c r="P703" i="7"/>
  <c r="P704" i="7"/>
  <c r="P705" i="7"/>
  <c r="P706" i="7"/>
  <c r="P707" i="7"/>
  <c r="P708" i="7"/>
  <c r="P709" i="7"/>
  <c r="P710" i="7"/>
  <c r="P711" i="7"/>
  <c r="P712" i="7"/>
  <c r="P713" i="7"/>
  <c r="P714" i="7"/>
  <c r="P715" i="7"/>
  <c r="P716" i="7"/>
  <c r="P717" i="7"/>
  <c r="P718" i="7"/>
  <c r="P719" i="7"/>
  <c r="P720" i="7"/>
  <c r="P721" i="7"/>
  <c r="P722" i="7"/>
  <c r="P723" i="7"/>
  <c r="P724" i="7"/>
  <c r="P725" i="7"/>
  <c r="P726" i="7"/>
  <c r="P727" i="7"/>
  <c r="P728" i="7"/>
  <c r="P729" i="7"/>
  <c r="P730" i="7"/>
  <c r="P731" i="7"/>
  <c r="P732" i="7"/>
  <c r="P733" i="7"/>
  <c r="P734" i="7"/>
  <c r="P735" i="7"/>
  <c r="P736" i="7"/>
  <c r="P737" i="7"/>
  <c r="P738" i="7"/>
  <c r="P739" i="7"/>
  <c r="P740" i="7"/>
  <c r="P741" i="7"/>
  <c r="P742" i="7"/>
  <c r="P743" i="7"/>
  <c r="P744" i="7"/>
  <c r="P745" i="7"/>
  <c r="P746" i="7"/>
  <c r="P747" i="7"/>
  <c r="P748" i="7"/>
  <c r="P749" i="7"/>
  <c r="P750" i="7"/>
  <c r="P751" i="7"/>
  <c r="P752" i="7"/>
  <c r="P753" i="7"/>
  <c r="P754" i="7"/>
  <c r="P755" i="7"/>
  <c r="P756" i="7"/>
  <c r="P757" i="7"/>
  <c r="P758" i="7"/>
  <c r="P759" i="7"/>
  <c r="P760" i="7"/>
  <c r="P761" i="7"/>
  <c r="P762" i="7"/>
  <c r="P763" i="7"/>
  <c r="P764" i="7"/>
  <c r="P765" i="7"/>
  <c r="P766" i="7"/>
  <c r="P767" i="7"/>
  <c r="P768" i="7"/>
  <c r="P769" i="7"/>
  <c r="P770" i="7"/>
  <c r="P771" i="7"/>
  <c r="P772" i="7"/>
  <c r="P773" i="7"/>
  <c r="P774" i="7"/>
  <c r="P775" i="7"/>
  <c r="P776" i="7"/>
  <c r="P777" i="7"/>
  <c r="P778" i="7"/>
  <c r="P779" i="7"/>
  <c r="P780" i="7"/>
  <c r="P781" i="7"/>
  <c r="P782" i="7"/>
  <c r="P783" i="7"/>
  <c r="P784" i="7"/>
  <c r="P785" i="7"/>
  <c r="P786" i="7"/>
  <c r="P787" i="7"/>
  <c r="P788" i="7"/>
  <c r="P789" i="7"/>
  <c r="P790" i="7"/>
  <c r="P791" i="7"/>
  <c r="P792" i="7"/>
  <c r="P793" i="7"/>
  <c r="P794" i="7"/>
  <c r="P795" i="7"/>
  <c r="P796" i="7"/>
  <c r="P797" i="7"/>
  <c r="P798" i="7"/>
  <c r="P799" i="7"/>
  <c r="P800" i="7"/>
  <c r="P801" i="7"/>
  <c r="P802" i="7"/>
  <c r="P803" i="7"/>
  <c r="P804" i="7"/>
  <c r="P805" i="7"/>
  <c r="P806" i="7"/>
  <c r="P807" i="7"/>
  <c r="P808" i="7"/>
  <c r="P809" i="7"/>
  <c r="P810" i="7"/>
  <c r="P811" i="7"/>
  <c r="P812" i="7"/>
  <c r="P813" i="7"/>
  <c r="P814" i="7"/>
  <c r="P815" i="7"/>
  <c r="P816" i="7"/>
  <c r="P817" i="7"/>
  <c r="P818" i="7"/>
  <c r="P819" i="7"/>
  <c r="P820" i="7"/>
  <c r="P821" i="7"/>
  <c r="P822" i="7"/>
  <c r="P823" i="7"/>
  <c r="P824" i="7"/>
  <c r="P825" i="7"/>
  <c r="P826" i="7"/>
  <c r="P827" i="7"/>
  <c r="P828" i="7"/>
  <c r="P829" i="7"/>
  <c r="P830" i="7"/>
  <c r="P831" i="7"/>
  <c r="P832" i="7"/>
  <c r="P833" i="7"/>
  <c r="P834" i="7"/>
  <c r="P835" i="7"/>
  <c r="P836" i="7"/>
  <c r="P837" i="7"/>
  <c r="P838" i="7"/>
  <c r="P839" i="7"/>
  <c r="P840" i="7"/>
  <c r="P841" i="7"/>
  <c r="P842" i="7"/>
  <c r="P843" i="7"/>
  <c r="P844" i="7"/>
  <c r="P845" i="7"/>
  <c r="P846" i="7"/>
  <c r="P847" i="7"/>
  <c r="P848" i="7"/>
  <c r="P849" i="7"/>
  <c r="P850" i="7"/>
  <c r="P851" i="7"/>
  <c r="P852" i="7"/>
  <c r="P853" i="7"/>
  <c r="P854" i="7"/>
  <c r="P855" i="7"/>
  <c r="P856" i="7"/>
  <c r="P857" i="7"/>
  <c r="P858" i="7"/>
  <c r="P859" i="7"/>
  <c r="P860" i="7"/>
  <c r="P861" i="7"/>
  <c r="P862" i="7"/>
  <c r="P863" i="7"/>
  <c r="P864" i="7"/>
  <c r="P865" i="7"/>
  <c r="P866" i="7"/>
  <c r="P867" i="7"/>
  <c r="P868" i="7"/>
  <c r="P869" i="7"/>
  <c r="P870" i="7"/>
  <c r="P871" i="7"/>
  <c r="P872" i="7"/>
  <c r="P873" i="7"/>
  <c r="P874" i="7"/>
  <c r="P875" i="7"/>
  <c r="P876" i="7"/>
  <c r="P877" i="7"/>
  <c r="P878" i="7"/>
  <c r="P879" i="7"/>
  <c r="P880" i="7"/>
  <c r="P881" i="7"/>
  <c r="P882" i="7"/>
  <c r="P883" i="7"/>
  <c r="P884" i="7"/>
  <c r="P885" i="7"/>
  <c r="P886" i="7"/>
  <c r="P887" i="7"/>
  <c r="P888" i="7"/>
  <c r="P889" i="7"/>
  <c r="P890" i="7"/>
  <c r="P891" i="7"/>
  <c r="P892" i="7"/>
  <c r="P893" i="7"/>
  <c r="P894" i="7"/>
  <c r="P895" i="7"/>
  <c r="P896" i="7"/>
  <c r="P897" i="7"/>
  <c r="P898" i="7"/>
  <c r="P899" i="7"/>
  <c r="P900" i="7"/>
  <c r="P901" i="7"/>
  <c r="P902" i="7"/>
  <c r="P903" i="7"/>
  <c r="P904" i="7"/>
  <c r="P905" i="7"/>
  <c r="P906" i="7"/>
  <c r="P907" i="7"/>
  <c r="P908" i="7"/>
  <c r="P909" i="7"/>
  <c r="P910" i="7"/>
  <c r="P911" i="7"/>
  <c r="P912" i="7"/>
  <c r="P913" i="7"/>
  <c r="P914" i="7"/>
  <c r="P915" i="7"/>
  <c r="P916" i="7"/>
  <c r="P917" i="7"/>
  <c r="P918" i="7"/>
  <c r="P919" i="7"/>
  <c r="P920" i="7"/>
  <c r="P921" i="7"/>
  <c r="P922" i="7"/>
  <c r="P923" i="7"/>
  <c r="P924" i="7"/>
  <c r="P925" i="7"/>
  <c r="P926" i="7"/>
  <c r="P927" i="7"/>
  <c r="P928" i="7"/>
  <c r="P929" i="7"/>
  <c r="P930" i="7"/>
  <c r="P931" i="7"/>
  <c r="P932" i="7"/>
  <c r="P933" i="7"/>
  <c r="P934" i="7"/>
  <c r="P935" i="7"/>
  <c r="P936" i="7"/>
  <c r="P937" i="7"/>
  <c r="P938" i="7"/>
  <c r="P939" i="7"/>
  <c r="P940" i="7"/>
  <c r="P941" i="7"/>
  <c r="P942" i="7"/>
  <c r="P943" i="7"/>
  <c r="P944" i="7"/>
  <c r="P945" i="7"/>
  <c r="P946" i="7"/>
  <c r="P947" i="7"/>
  <c r="P948" i="7"/>
  <c r="P949" i="7"/>
  <c r="P950" i="7"/>
  <c r="P951" i="7"/>
  <c r="P952" i="7"/>
  <c r="P953" i="7"/>
  <c r="P954" i="7"/>
  <c r="P955" i="7"/>
  <c r="P956" i="7"/>
  <c r="P957" i="7"/>
  <c r="P958" i="7"/>
  <c r="P959" i="7"/>
  <c r="P960" i="7"/>
  <c r="P961" i="7"/>
  <c r="P962" i="7"/>
  <c r="P963" i="7"/>
  <c r="P964" i="7"/>
  <c r="P965" i="7"/>
  <c r="P966" i="7"/>
  <c r="P967" i="7"/>
  <c r="P968" i="7"/>
  <c r="P969" i="7"/>
  <c r="P970" i="7"/>
  <c r="P971" i="7"/>
  <c r="P972" i="7"/>
  <c r="P973" i="7"/>
  <c r="P974" i="7"/>
  <c r="P975" i="7"/>
  <c r="P976" i="7"/>
  <c r="P977" i="7"/>
  <c r="P978" i="7"/>
  <c r="P979" i="7"/>
  <c r="P980" i="7"/>
  <c r="P981" i="7"/>
  <c r="P982" i="7"/>
  <c r="P983" i="7"/>
  <c r="P984" i="7"/>
  <c r="P985" i="7"/>
  <c r="P986" i="7"/>
  <c r="P987" i="7"/>
  <c r="P988" i="7"/>
  <c r="P989" i="7"/>
  <c r="P990" i="7"/>
  <c r="P991" i="7"/>
  <c r="P992" i="7"/>
  <c r="P993" i="7"/>
  <c r="P994" i="7"/>
  <c r="P995" i="7"/>
  <c r="P996" i="7"/>
  <c r="P997" i="7"/>
  <c r="P998" i="7"/>
  <c r="P999" i="7"/>
  <c r="P1000" i="7"/>
  <c r="P1001" i="7"/>
  <c r="W25" i="15"/>
  <c r="X11" i="15" l="1"/>
  <c r="X12" i="15"/>
  <c r="O2" i="7" a="1"/>
  <c r="O2" i="7" s="1"/>
  <c r="O3" i="7" a="1"/>
  <c r="O3" i="7" s="1"/>
  <c r="O4" i="7" a="1"/>
  <c r="O4" i="7" s="1"/>
  <c r="O5" i="7" a="1"/>
  <c r="O5" i="7" s="1"/>
  <c r="O6" i="7" a="1"/>
  <c r="O6" i="7" s="1"/>
  <c r="O7" i="7" a="1"/>
  <c r="O7" i="7" s="1"/>
  <c r="O8" i="7" a="1"/>
  <c r="O8" i="7" s="1"/>
  <c r="O9" i="7" a="1"/>
  <c r="O9" i="7" s="1"/>
  <c r="O10" i="7" a="1"/>
  <c r="O10" i="7" s="1"/>
  <c r="O11" i="7" a="1"/>
  <c r="O11" i="7" s="1"/>
  <c r="O12" i="7" a="1"/>
  <c r="O12" i="7" s="1"/>
  <c r="O13" i="7" a="1"/>
  <c r="O13" i="7" s="1"/>
  <c r="O14" i="7" a="1"/>
  <c r="O14" i="7" s="1"/>
  <c r="O15" i="7" a="1"/>
  <c r="O15" i="7" s="1"/>
  <c r="O16" i="7" a="1"/>
  <c r="O16" i="7" s="1"/>
  <c r="O17" i="7" a="1"/>
  <c r="O17" i="7" s="1"/>
  <c r="O18" i="7" a="1"/>
  <c r="O18" i="7" s="1"/>
  <c r="O19" i="7" a="1"/>
  <c r="O19" i="7" s="1"/>
  <c r="O20" i="7" a="1"/>
  <c r="O20" i="7" s="1"/>
  <c r="O21" i="7" a="1"/>
  <c r="O21" i="7" s="1"/>
  <c r="O22" i="7" a="1"/>
  <c r="O22" i="7" s="1"/>
  <c r="O23" i="7" a="1"/>
  <c r="O23" i="7" s="1"/>
  <c r="O24" i="7" a="1"/>
  <c r="O24" i="7" s="1"/>
  <c r="O25" i="7" a="1"/>
  <c r="O25" i="7" s="1"/>
  <c r="O26" i="7" a="1"/>
  <c r="O26" i="7" s="1"/>
  <c r="O27" i="7" a="1"/>
  <c r="O27" i="7" s="1"/>
  <c r="O28" i="7" a="1"/>
  <c r="O28" i="7" s="1"/>
  <c r="O29" i="7" a="1"/>
  <c r="O29" i="7" s="1"/>
  <c r="O30" i="7" a="1"/>
  <c r="O30" i="7" s="1"/>
  <c r="O31" i="7" a="1"/>
  <c r="O31" i="7" s="1"/>
  <c r="O32" i="7" a="1"/>
  <c r="O32" i="7" s="1"/>
  <c r="O33" i="7" a="1"/>
  <c r="O33" i="7" s="1"/>
  <c r="O34" i="7" a="1"/>
  <c r="O34" i="7" s="1"/>
  <c r="O35" i="7" a="1"/>
  <c r="O35" i="7" s="1"/>
  <c r="O36" i="7" a="1"/>
  <c r="O36" i="7" s="1"/>
  <c r="O37" i="7" a="1"/>
  <c r="O37" i="7" s="1"/>
  <c r="O38" i="7" a="1"/>
  <c r="O38" i="7" s="1"/>
  <c r="O39" i="7" a="1"/>
  <c r="O39" i="7" s="1"/>
  <c r="O40" i="7" a="1"/>
  <c r="O40" i="7" s="1"/>
  <c r="O41" i="7" a="1"/>
  <c r="O41" i="7" s="1"/>
  <c r="O42" i="7" a="1"/>
  <c r="O42" i="7" s="1"/>
  <c r="O43" i="7" a="1"/>
  <c r="O43" i="7" s="1"/>
  <c r="O44" i="7" a="1"/>
  <c r="O44" i="7" s="1"/>
  <c r="O45" i="7" a="1"/>
  <c r="O45" i="7" s="1"/>
  <c r="O46" i="7" a="1"/>
  <c r="O46" i="7" s="1"/>
  <c r="O47" i="7" a="1"/>
  <c r="O47" i="7" s="1"/>
  <c r="O48" i="7" a="1"/>
  <c r="O48" i="7" s="1"/>
  <c r="O49" i="7" a="1"/>
  <c r="O49" i="7" s="1"/>
  <c r="O50" i="7" a="1"/>
  <c r="O50" i="7" s="1"/>
  <c r="O51" i="7" a="1"/>
  <c r="O51" i="7" s="1"/>
  <c r="O52" i="7" a="1"/>
  <c r="O52" i="7" s="1"/>
  <c r="O53" i="7" a="1"/>
  <c r="O53" i="7" s="1"/>
  <c r="O54" i="7" a="1"/>
  <c r="O54" i="7" s="1"/>
  <c r="O55" i="7" a="1"/>
  <c r="O55" i="7" s="1"/>
  <c r="O56" i="7" a="1"/>
  <c r="O56" i="7" s="1"/>
  <c r="O57" i="7" a="1"/>
  <c r="O57" i="7" s="1"/>
  <c r="O58" i="7" a="1"/>
  <c r="O58" i="7" s="1"/>
  <c r="O59" i="7" a="1"/>
  <c r="O59" i="7" s="1"/>
  <c r="O60" i="7" a="1"/>
  <c r="O60" i="7" s="1"/>
  <c r="O61" i="7" a="1"/>
  <c r="O61" i="7" s="1"/>
  <c r="O62" i="7" a="1"/>
  <c r="O62" i="7" s="1"/>
  <c r="O63" i="7" a="1"/>
  <c r="O63" i="7" s="1"/>
  <c r="O64" i="7" a="1"/>
  <c r="O64" i="7" s="1"/>
  <c r="O65" i="7" a="1"/>
  <c r="O65" i="7" s="1"/>
  <c r="O66" i="7" a="1"/>
  <c r="O66" i="7" s="1"/>
  <c r="O67" i="7" a="1"/>
  <c r="O67" i="7" s="1"/>
  <c r="O68" i="7" a="1"/>
  <c r="O68" i="7" s="1"/>
  <c r="O69" i="7" a="1"/>
  <c r="O69" i="7" s="1"/>
  <c r="O70" i="7" a="1"/>
  <c r="O70" i="7" s="1"/>
  <c r="O71" i="7" a="1"/>
  <c r="O71" i="7" s="1"/>
  <c r="O72" i="7" a="1"/>
  <c r="O72" i="7" s="1"/>
  <c r="O73" i="7" a="1"/>
  <c r="O73" i="7" s="1"/>
  <c r="O74" i="7" a="1"/>
  <c r="O74" i="7" s="1"/>
  <c r="O75" i="7" a="1"/>
  <c r="O75" i="7" s="1"/>
  <c r="O76" i="7" a="1"/>
  <c r="O76" i="7" s="1"/>
  <c r="O77" i="7" a="1"/>
  <c r="O77" i="7" s="1"/>
  <c r="O78" i="7" a="1"/>
  <c r="O78" i="7" s="1"/>
  <c r="O79" i="7" a="1"/>
  <c r="O79" i="7" s="1"/>
  <c r="O80" i="7" a="1"/>
  <c r="O80" i="7" s="1"/>
  <c r="O81" i="7" a="1"/>
  <c r="O81" i="7" s="1"/>
  <c r="O82" i="7" a="1"/>
  <c r="O82" i="7" s="1"/>
  <c r="O83" i="7" a="1"/>
  <c r="O83" i="7" s="1"/>
  <c r="O84" i="7" a="1"/>
  <c r="O84" i="7" s="1"/>
  <c r="O85" i="7" a="1"/>
  <c r="O85" i="7" s="1"/>
  <c r="O86" i="7" a="1"/>
  <c r="O86" i="7" s="1"/>
  <c r="O87" i="7" a="1"/>
  <c r="O87" i="7" s="1"/>
  <c r="O88" i="7" a="1"/>
  <c r="O88" i="7" s="1"/>
  <c r="O89" i="7" a="1"/>
  <c r="O89" i="7" s="1"/>
  <c r="O90" i="7" a="1"/>
  <c r="O90" i="7" s="1"/>
  <c r="O91" i="7" a="1"/>
  <c r="O91" i="7" s="1"/>
  <c r="O92" i="7" a="1"/>
  <c r="O92" i="7" s="1"/>
  <c r="O93" i="7" a="1"/>
  <c r="O93" i="7" s="1"/>
  <c r="O94" i="7" a="1"/>
  <c r="O94" i="7" s="1"/>
  <c r="O95" i="7" a="1"/>
  <c r="O95" i="7" s="1"/>
  <c r="O96" i="7" a="1"/>
  <c r="O96" i="7" s="1"/>
  <c r="O97" i="7" a="1"/>
  <c r="O97" i="7" s="1"/>
  <c r="O98" i="7" a="1"/>
  <c r="O98" i="7" s="1"/>
  <c r="O99" i="7" a="1"/>
  <c r="O99" i="7" s="1"/>
  <c r="O100" i="7" a="1"/>
  <c r="O100" i="7" s="1"/>
  <c r="O101" i="7" a="1"/>
  <c r="O101" i="7" s="1"/>
  <c r="O102" i="7" a="1"/>
  <c r="O102" i="7" s="1"/>
  <c r="O103" i="7" a="1"/>
  <c r="O103" i="7" s="1"/>
  <c r="O104" i="7" a="1"/>
  <c r="O104" i="7" s="1"/>
  <c r="O105" i="7" a="1"/>
  <c r="O105" i="7" s="1"/>
  <c r="O106" i="7" a="1"/>
  <c r="O106" i="7" s="1"/>
  <c r="O107" i="7" a="1"/>
  <c r="O107" i="7" s="1"/>
  <c r="O108" i="7" a="1"/>
  <c r="O108" i="7" s="1"/>
  <c r="O109" i="7" a="1"/>
  <c r="O109" i="7" s="1"/>
  <c r="O110" i="7" a="1"/>
  <c r="O110" i="7" s="1"/>
  <c r="O111" i="7" a="1"/>
  <c r="O111" i="7" s="1"/>
  <c r="O112" i="7" a="1"/>
  <c r="O112" i="7" s="1"/>
  <c r="O113" i="7" a="1"/>
  <c r="O113" i="7" s="1"/>
  <c r="O114" i="7" a="1"/>
  <c r="O114" i="7" s="1"/>
  <c r="O115" i="7" a="1"/>
  <c r="O115" i="7" s="1"/>
  <c r="O116" i="7" a="1"/>
  <c r="O116" i="7" s="1"/>
  <c r="O117" i="7" a="1"/>
  <c r="O117" i="7" s="1"/>
  <c r="O118" i="7" a="1"/>
  <c r="O118" i="7" s="1"/>
  <c r="O119" i="7" a="1"/>
  <c r="O119" i="7" s="1"/>
  <c r="O120" i="7" a="1"/>
  <c r="O120" i="7" s="1"/>
  <c r="O121" i="7" a="1"/>
  <c r="O121" i="7" s="1"/>
  <c r="O122" i="7" a="1"/>
  <c r="O122" i="7" s="1"/>
  <c r="O123" i="7" a="1"/>
  <c r="O123" i="7" s="1"/>
  <c r="O124" i="7" a="1"/>
  <c r="O124" i="7" s="1"/>
  <c r="O125" i="7" a="1"/>
  <c r="O125" i="7" s="1"/>
  <c r="O126" i="7" a="1"/>
  <c r="O126" i="7" s="1"/>
  <c r="O127" i="7" a="1"/>
  <c r="O127" i="7" s="1"/>
  <c r="O128" i="7" a="1"/>
  <c r="O128" i="7" s="1"/>
  <c r="O129" i="7" a="1"/>
  <c r="O129" i="7" s="1"/>
  <c r="O130" i="7" a="1"/>
  <c r="O130" i="7" s="1"/>
  <c r="O131" i="7" a="1"/>
  <c r="O131" i="7" s="1"/>
  <c r="O132" i="7" a="1"/>
  <c r="O132" i="7" s="1"/>
  <c r="O133" i="7" a="1"/>
  <c r="O133" i="7" s="1"/>
  <c r="O134" i="7" a="1"/>
  <c r="O134" i="7" s="1"/>
  <c r="O135" i="7" a="1"/>
  <c r="O135" i="7" s="1"/>
  <c r="O136" i="7" a="1"/>
  <c r="O136" i="7" s="1"/>
  <c r="O137" i="7" a="1"/>
  <c r="O137" i="7" s="1"/>
  <c r="O138" i="7" a="1"/>
  <c r="O138" i="7" s="1"/>
  <c r="O139" i="7" a="1"/>
  <c r="O139" i="7" s="1"/>
  <c r="O140" i="7" a="1"/>
  <c r="O140" i="7" s="1"/>
  <c r="O141" i="7" a="1"/>
  <c r="O141" i="7" s="1"/>
  <c r="O142" i="7" a="1"/>
  <c r="O142" i="7" s="1"/>
  <c r="O143" i="7" a="1"/>
  <c r="O143" i="7" s="1"/>
  <c r="O144" i="7" a="1"/>
  <c r="O144" i="7" s="1"/>
  <c r="O145" i="7" a="1"/>
  <c r="O145" i="7" s="1"/>
  <c r="O146" i="7" a="1"/>
  <c r="O146" i="7" s="1"/>
  <c r="O147" i="7" a="1"/>
  <c r="O147" i="7" s="1"/>
  <c r="O148" i="7" a="1"/>
  <c r="O148" i="7" s="1"/>
  <c r="O149" i="7" a="1"/>
  <c r="O149" i="7" s="1"/>
  <c r="O150" i="7" a="1"/>
  <c r="O150" i="7" s="1"/>
  <c r="O151" i="7" a="1"/>
  <c r="O151" i="7" s="1"/>
  <c r="O152" i="7" a="1"/>
  <c r="O152" i="7" s="1"/>
  <c r="O153" i="7" a="1"/>
  <c r="O153" i="7" s="1"/>
  <c r="O154" i="7" a="1"/>
  <c r="O154" i="7" s="1"/>
  <c r="O155" i="7" a="1"/>
  <c r="O155" i="7" s="1"/>
  <c r="O156" i="7" a="1"/>
  <c r="O156" i="7" s="1"/>
  <c r="O157" i="7" a="1"/>
  <c r="O157" i="7" s="1"/>
  <c r="O158" i="7" a="1"/>
  <c r="O158" i="7" s="1"/>
  <c r="O159" i="7" a="1"/>
  <c r="O159" i="7" s="1"/>
  <c r="O160" i="7" a="1"/>
  <c r="O160" i="7" s="1"/>
  <c r="O161" i="7" a="1"/>
  <c r="O161" i="7" s="1"/>
  <c r="O162" i="7" a="1"/>
  <c r="O162" i="7" s="1"/>
  <c r="O163" i="7" a="1"/>
  <c r="O163" i="7" s="1"/>
  <c r="O164" i="7" a="1"/>
  <c r="O164" i="7" s="1"/>
  <c r="O165" i="7" a="1"/>
  <c r="O165" i="7" s="1"/>
  <c r="O166" i="7" a="1"/>
  <c r="O166" i="7" s="1"/>
  <c r="O167" i="7" a="1"/>
  <c r="O167" i="7" s="1"/>
  <c r="O168" i="7" a="1"/>
  <c r="O168" i="7" s="1"/>
  <c r="O169" i="7" a="1"/>
  <c r="O169" i="7" s="1"/>
  <c r="O170" i="7" a="1"/>
  <c r="O170" i="7" s="1"/>
  <c r="O171" i="7" a="1"/>
  <c r="O171" i="7" s="1"/>
  <c r="O172" i="7" a="1"/>
  <c r="O172" i="7" s="1"/>
  <c r="O173" i="7" a="1"/>
  <c r="O173" i="7" s="1"/>
  <c r="O174" i="7" a="1"/>
  <c r="O174" i="7" s="1"/>
  <c r="O175" i="7" a="1"/>
  <c r="O175" i="7" s="1"/>
  <c r="O176" i="7" a="1"/>
  <c r="O176" i="7" s="1"/>
  <c r="O177" i="7" a="1"/>
  <c r="O177" i="7" s="1"/>
  <c r="O178" i="7" a="1"/>
  <c r="O178" i="7" s="1"/>
  <c r="O179" i="7" a="1"/>
  <c r="O179" i="7" s="1"/>
  <c r="O180" i="7" a="1"/>
  <c r="O180" i="7" s="1"/>
  <c r="O181" i="7" a="1"/>
  <c r="O181" i="7" s="1"/>
  <c r="O182" i="7" a="1"/>
  <c r="O182" i="7" s="1"/>
  <c r="O183" i="7" a="1"/>
  <c r="O183" i="7" s="1"/>
  <c r="O184" i="7" a="1"/>
  <c r="O184" i="7" s="1"/>
  <c r="O185" i="7" a="1"/>
  <c r="O185" i="7" s="1"/>
  <c r="O186" i="7" a="1"/>
  <c r="O186" i="7" s="1"/>
  <c r="O187" i="7" a="1"/>
  <c r="O187" i="7" s="1"/>
  <c r="O188" i="7" a="1"/>
  <c r="O188" i="7" s="1"/>
  <c r="O189" i="7" a="1"/>
  <c r="O189" i="7" s="1"/>
  <c r="O190" i="7" a="1"/>
  <c r="O190" i="7" s="1"/>
  <c r="O191" i="7" a="1"/>
  <c r="O191" i="7" s="1"/>
  <c r="O192" i="7" a="1"/>
  <c r="O192" i="7" s="1"/>
  <c r="O193" i="7" a="1"/>
  <c r="O193" i="7" s="1"/>
  <c r="O194" i="7" a="1"/>
  <c r="O194" i="7" s="1"/>
  <c r="O195" i="7" a="1"/>
  <c r="O195" i="7" s="1"/>
  <c r="O196" i="7" a="1"/>
  <c r="O196" i="7" s="1"/>
  <c r="O197" i="7" a="1"/>
  <c r="O197" i="7" s="1"/>
  <c r="O198" i="7" a="1"/>
  <c r="O198" i="7" s="1"/>
  <c r="O199" i="7" a="1"/>
  <c r="O199" i="7" s="1"/>
  <c r="O200" i="7" a="1"/>
  <c r="O200" i="7" s="1"/>
  <c r="O201" i="7" a="1"/>
  <c r="O201" i="7" s="1"/>
  <c r="O202" i="7" a="1"/>
  <c r="O202" i="7" s="1"/>
  <c r="O203" i="7" a="1"/>
  <c r="O203" i="7" s="1"/>
  <c r="O204" i="7" a="1"/>
  <c r="O204" i="7" s="1"/>
  <c r="O205" i="7" a="1"/>
  <c r="O205" i="7" s="1"/>
  <c r="O206" i="7" a="1"/>
  <c r="O206" i="7" s="1"/>
  <c r="O207" i="7" a="1"/>
  <c r="O207" i="7" s="1"/>
  <c r="O208" i="7" a="1"/>
  <c r="O208" i="7" s="1"/>
  <c r="O209" i="7" a="1"/>
  <c r="O209" i="7" s="1"/>
  <c r="O210" i="7" a="1"/>
  <c r="O210" i="7" s="1"/>
  <c r="O211" i="7" a="1"/>
  <c r="O211" i="7" s="1"/>
  <c r="O212" i="7" a="1"/>
  <c r="O212" i="7" s="1"/>
  <c r="O213" i="7" a="1"/>
  <c r="O213" i="7" s="1"/>
  <c r="O214" i="7" a="1"/>
  <c r="O214" i="7" s="1"/>
  <c r="O215" i="7" a="1"/>
  <c r="O215" i="7" s="1"/>
  <c r="O216" i="7" a="1"/>
  <c r="O216" i="7" s="1"/>
  <c r="O217" i="7" a="1"/>
  <c r="O217" i="7" s="1"/>
  <c r="O218" i="7" a="1"/>
  <c r="O218" i="7" s="1"/>
  <c r="O219" i="7" a="1"/>
  <c r="O219" i="7" s="1"/>
  <c r="O220" i="7" a="1"/>
  <c r="O220" i="7" s="1"/>
  <c r="O221" i="7" a="1"/>
  <c r="O221" i="7" s="1"/>
  <c r="O222" i="7" a="1"/>
  <c r="O222" i="7" s="1"/>
  <c r="O223" i="7" a="1"/>
  <c r="O223" i="7" s="1"/>
  <c r="O224" i="7" a="1"/>
  <c r="O224" i="7" s="1"/>
  <c r="O225" i="7" a="1"/>
  <c r="O225" i="7" s="1"/>
  <c r="O226" i="7" a="1"/>
  <c r="O226" i="7" s="1"/>
  <c r="O227" i="7" a="1"/>
  <c r="O227" i="7" s="1"/>
  <c r="O228" i="7" a="1"/>
  <c r="O228" i="7" s="1"/>
  <c r="O229" i="7" a="1"/>
  <c r="O229" i="7" s="1"/>
  <c r="O230" i="7" a="1"/>
  <c r="O230" i="7" s="1"/>
  <c r="O231" i="7" a="1"/>
  <c r="O231" i="7" s="1"/>
  <c r="O232" i="7" a="1"/>
  <c r="O232" i="7" s="1"/>
  <c r="O233" i="7" a="1"/>
  <c r="O233" i="7" s="1"/>
  <c r="O234" i="7" a="1"/>
  <c r="O234" i="7" s="1"/>
  <c r="O235" i="7" a="1"/>
  <c r="O235" i="7" s="1"/>
  <c r="O236" i="7" a="1"/>
  <c r="O236" i="7" s="1"/>
  <c r="O237" i="7" a="1"/>
  <c r="O237" i="7" s="1"/>
  <c r="O238" i="7" a="1"/>
  <c r="O238" i="7" s="1"/>
  <c r="O239" i="7" a="1"/>
  <c r="O239" i="7" s="1"/>
  <c r="O240" i="7" a="1"/>
  <c r="O240" i="7" s="1"/>
  <c r="O241" i="7" a="1"/>
  <c r="O241" i="7" s="1"/>
  <c r="O242" i="7" a="1"/>
  <c r="O242" i="7" s="1"/>
  <c r="O243" i="7" a="1"/>
  <c r="O243" i="7" s="1"/>
  <c r="O244" i="7" a="1"/>
  <c r="O244" i="7" s="1"/>
  <c r="O245" i="7" a="1"/>
  <c r="O245" i="7" s="1"/>
  <c r="O246" i="7" a="1"/>
  <c r="O246" i="7" s="1"/>
  <c r="O247" i="7" a="1"/>
  <c r="O247" i="7" s="1"/>
  <c r="O248" i="7" a="1"/>
  <c r="O248" i="7" s="1"/>
  <c r="O249" i="7" a="1"/>
  <c r="O249" i="7" s="1"/>
  <c r="O250" i="7" a="1"/>
  <c r="O250" i="7" s="1"/>
  <c r="O251" i="7" a="1"/>
  <c r="O251" i="7" s="1"/>
  <c r="O252" i="7" a="1"/>
  <c r="O252" i="7" s="1"/>
  <c r="O253" i="7" a="1"/>
  <c r="O253" i="7" s="1"/>
  <c r="O254" i="7" a="1"/>
  <c r="O254" i="7" s="1"/>
  <c r="O255" i="7" a="1"/>
  <c r="O255" i="7" s="1"/>
  <c r="O256" i="7" a="1"/>
  <c r="O256" i="7" s="1"/>
  <c r="O257" i="7" a="1"/>
  <c r="O257" i="7" s="1"/>
  <c r="O258" i="7" a="1"/>
  <c r="O258" i="7" s="1"/>
  <c r="O259" i="7" a="1"/>
  <c r="O259" i="7" s="1"/>
  <c r="O260" i="7" a="1"/>
  <c r="O260" i="7" s="1"/>
  <c r="O261" i="7" a="1"/>
  <c r="O261" i="7" s="1"/>
  <c r="O262" i="7" a="1"/>
  <c r="O262" i="7" s="1"/>
  <c r="O263" i="7" a="1"/>
  <c r="O263" i="7" s="1"/>
  <c r="O264" i="7" a="1"/>
  <c r="O264" i="7" s="1"/>
  <c r="O265" i="7" a="1"/>
  <c r="O265" i="7" s="1"/>
  <c r="O266" i="7" a="1"/>
  <c r="O266" i="7" s="1"/>
  <c r="O267" i="7" a="1"/>
  <c r="O267" i="7" s="1"/>
  <c r="O268" i="7" a="1"/>
  <c r="O268" i="7" s="1"/>
  <c r="O269" i="7" a="1"/>
  <c r="O269" i="7" s="1"/>
  <c r="O270" i="7" a="1"/>
  <c r="O270" i="7" s="1"/>
  <c r="O271" i="7" a="1"/>
  <c r="O271" i="7" s="1"/>
  <c r="O272" i="7" a="1"/>
  <c r="O272" i="7" s="1"/>
  <c r="O273" i="7" a="1"/>
  <c r="O273" i="7" s="1"/>
  <c r="O274" i="7" a="1"/>
  <c r="O274" i="7" s="1"/>
  <c r="O275" i="7" a="1"/>
  <c r="O275" i="7" s="1"/>
  <c r="O276" i="7" a="1"/>
  <c r="O276" i="7" s="1"/>
  <c r="O277" i="7" a="1"/>
  <c r="O277" i="7" s="1"/>
  <c r="O278" i="7" a="1"/>
  <c r="O278" i="7" s="1"/>
  <c r="O279" i="7" a="1"/>
  <c r="O279" i="7" s="1"/>
  <c r="O280" i="7" a="1"/>
  <c r="O280" i="7" s="1"/>
  <c r="O281" i="7" a="1"/>
  <c r="O281" i="7" s="1"/>
  <c r="O282" i="7" a="1"/>
  <c r="O282" i="7" s="1"/>
  <c r="O283" i="7" a="1"/>
  <c r="O283" i="7" s="1"/>
  <c r="O284" i="7" a="1"/>
  <c r="O284" i="7" s="1"/>
  <c r="O285" i="7" a="1"/>
  <c r="O285" i="7" s="1"/>
  <c r="O286" i="7" a="1"/>
  <c r="O286" i="7" s="1"/>
  <c r="O287" i="7" a="1"/>
  <c r="O287" i="7" s="1"/>
  <c r="O288" i="7" a="1"/>
  <c r="O288" i="7" s="1"/>
  <c r="O289" i="7" a="1"/>
  <c r="O289" i="7" s="1"/>
  <c r="O290" i="7" a="1"/>
  <c r="O290" i="7" s="1"/>
  <c r="O291" i="7" a="1"/>
  <c r="O291" i="7" s="1"/>
  <c r="O292" i="7" a="1"/>
  <c r="O292" i="7" s="1"/>
  <c r="O293" i="7" a="1"/>
  <c r="O293" i="7" s="1"/>
  <c r="O294" i="7" a="1"/>
  <c r="O294" i="7" s="1"/>
  <c r="O295" i="7" a="1"/>
  <c r="O295" i="7" s="1"/>
  <c r="O296" i="7" a="1"/>
  <c r="O296" i="7" s="1"/>
  <c r="O297" i="7" a="1"/>
  <c r="O297" i="7" s="1"/>
  <c r="O298" i="7" a="1"/>
  <c r="O298" i="7" s="1"/>
  <c r="O299" i="7" a="1"/>
  <c r="O299" i="7" s="1"/>
  <c r="O300" i="7" a="1"/>
  <c r="O300" i="7" s="1"/>
  <c r="O301" i="7" a="1"/>
  <c r="O301" i="7" s="1"/>
  <c r="O302" i="7" a="1"/>
  <c r="O302" i="7" s="1"/>
  <c r="O303" i="7" a="1"/>
  <c r="O303" i="7" s="1"/>
  <c r="O304" i="7" a="1"/>
  <c r="O304" i="7" s="1"/>
  <c r="O305" i="7" a="1"/>
  <c r="O305" i="7" s="1"/>
  <c r="O306" i="7" a="1"/>
  <c r="O306" i="7" s="1"/>
  <c r="O307" i="7" a="1"/>
  <c r="O307" i="7" s="1"/>
  <c r="O308" i="7" a="1"/>
  <c r="O308" i="7" s="1"/>
  <c r="O309" i="7" a="1"/>
  <c r="O309" i="7" s="1"/>
  <c r="O310" i="7" a="1"/>
  <c r="O310" i="7" s="1"/>
  <c r="O311" i="7" a="1"/>
  <c r="O311" i="7" s="1"/>
  <c r="O312" i="7" a="1"/>
  <c r="O312" i="7" s="1"/>
  <c r="O313" i="7" a="1"/>
  <c r="O313" i="7" s="1"/>
  <c r="O314" i="7" a="1"/>
  <c r="O314" i="7" s="1"/>
  <c r="O315" i="7" a="1"/>
  <c r="O315" i="7" s="1"/>
  <c r="O316" i="7" a="1"/>
  <c r="O316" i="7" s="1"/>
  <c r="O317" i="7" a="1"/>
  <c r="O317" i="7" s="1"/>
  <c r="O318" i="7" a="1"/>
  <c r="O318" i="7" s="1"/>
  <c r="O319" i="7" a="1"/>
  <c r="O319" i="7" s="1"/>
  <c r="O320" i="7" a="1"/>
  <c r="O320" i="7" s="1"/>
  <c r="O321" i="7" a="1"/>
  <c r="O321" i="7" s="1"/>
  <c r="O322" i="7" a="1"/>
  <c r="O322" i="7" s="1"/>
  <c r="O323" i="7" a="1"/>
  <c r="O323" i="7" s="1"/>
  <c r="O324" i="7" a="1"/>
  <c r="O324" i="7" s="1"/>
  <c r="O325" i="7" a="1"/>
  <c r="O325" i="7" s="1"/>
  <c r="O326" i="7" a="1"/>
  <c r="O326" i="7" s="1"/>
  <c r="O327" i="7" a="1"/>
  <c r="O327" i="7" s="1"/>
  <c r="O328" i="7" a="1"/>
  <c r="O328" i="7" s="1"/>
  <c r="O329" i="7" a="1"/>
  <c r="O329" i="7" s="1"/>
  <c r="O330" i="7" a="1"/>
  <c r="O330" i="7" s="1"/>
  <c r="O331" i="7" a="1"/>
  <c r="O331" i="7" s="1"/>
  <c r="O332" i="7" a="1"/>
  <c r="O332" i="7" s="1"/>
  <c r="O333" i="7" a="1"/>
  <c r="O333" i="7" s="1"/>
  <c r="O334" i="7" a="1"/>
  <c r="O334" i="7" s="1"/>
  <c r="O335" i="7" a="1"/>
  <c r="O335" i="7" s="1"/>
  <c r="O336" i="7" a="1"/>
  <c r="O336" i="7" s="1"/>
  <c r="O337" i="7" a="1"/>
  <c r="O337" i="7" s="1"/>
  <c r="O338" i="7" a="1"/>
  <c r="O338" i="7" s="1"/>
  <c r="O339" i="7" a="1"/>
  <c r="O339" i="7" s="1"/>
  <c r="O340" i="7" a="1"/>
  <c r="O340" i="7" s="1"/>
  <c r="O341" i="7" a="1"/>
  <c r="O341" i="7" s="1"/>
  <c r="O342" i="7" a="1"/>
  <c r="O342" i="7" s="1"/>
  <c r="O343" i="7" a="1"/>
  <c r="O343" i="7" s="1"/>
  <c r="O344" i="7" a="1"/>
  <c r="O344" i="7" s="1"/>
  <c r="O345" i="7" a="1"/>
  <c r="O345" i="7" s="1"/>
  <c r="O346" i="7" a="1"/>
  <c r="O346" i="7" s="1"/>
  <c r="O347" i="7" a="1"/>
  <c r="O347" i="7" s="1"/>
  <c r="O348" i="7" a="1"/>
  <c r="O348" i="7" s="1"/>
  <c r="O349" i="7" a="1"/>
  <c r="O349" i="7" s="1"/>
  <c r="O350" i="7" a="1"/>
  <c r="O350" i="7" s="1"/>
  <c r="O351" i="7" a="1"/>
  <c r="O351" i="7" s="1"/>
  <c r="O352" i="7" a="1"/>
  <c r="O352" i="7" s="1"/>
  <c r="O353" i="7" a="1"/>
  <c r="O353" i="7" s="1"/>
  <c r="O354" i="7" a="1"/>
  <c r="O354" i="7" s="1"/>
  <c r="O355" i="7" a="1"/>
  <c r="O355" i="7" s="1"/>
  <c r="O356" i="7" a="1"/>
  <c r="O356" i="7" s="1"/>
  <c r="O357" i="7" a="1"/>
  <c r="O357" i="7" s="1"/>
  <c r="O358" i="7" a="1"/>
  <c r="O358" i="7" s="1"/>
  <c r="O359" i="7" a="1"/>
  <c r="O359" i="7" s="1"/>
  <c r="O360" i="7" a="1"/>
  <c r="O360" i="7" s="1"/>
  <c r="O361" i="7" a="1"/>
  <c r="O361" i="7" s="1"/>
  <c r="O362" i="7" a="1"/>
  <c r="O362" i="7" s="1"/>
  <c r="O363" i="7" a="1"/>
  <c r="O363" i="7" s="1"/>
  <c r="O364" i="7" a="1"/>
  <c r="O364" i="7" s="1"/>
  <c r="O365" i="7" a="1"/>
  <c r="O365" i="7" s="1"/>
  <c r="O366" i="7" a="1"/>
  <c r="O366" i="7" s="1"/>
  <c r="O367" i="7" a="1"/>
  <c r="O367" i="7" s="1"/>
  <c r="O368" i="7" a="1"/>
  <c r="O368" i="7" s="1"/>
  <c r="O369" i="7" a="1"/>
  <c r="O369" i="7" s="1"/>
  <c r="O370" i="7" a="1"/>
  <c r="O370" i="7" s="1"/>
  <c r="O371" i="7" a="1"/>
  <c r="O371" i="7" s="1"/>
  <c r="O372" i="7" a="1"/>
  <c r="O372" i="7" s="1"/>
  <c r="O373" i="7" a="1"/>
  <c r="O373" i="7" s="1"/>
  <c r="O374" i="7" a="1"/>
  <c r="O374" i="7" s="1"/>
  <c r="O375" i="7" a="1"/>
  <c r="O375" i="7" s="1"/>
  <c r="O376" i="7" a="1"/>
  <c r="O376" i="7" s="1"/>
  <c r="O377" i="7" a="1"/>
  <c r="O377" i="7" s="1"/>
  <c r="O378" i="7" a="1"/>
  <c r="O378" i="7" s="1"/>
  <c r="O379" i="7" a="1"/>
  <c r="O379" i="7" s="1"/>
  <c r="O380" i="7" a="1"/>
  <c r="O380" i="7" s="1"/>
  <c r="O381" i="7" a="1"/>
  <c r="O381" i="7" s="1"/>
  <c r="O382" i="7" a="1"/>
  <c r="O382" i="7" s="1"/>
  <c r="O383" i="7" a="1"/>
  <c r="O383" i="7" s="1"/>
  <c r="O384" i="7" a="1"/>
  <c r="O384" i="7" s="1"/>
  <c r="O385" i="7" a="1"/>
  <c r="O385" i="7" s="1"/>
  <c r="O386" i="7" a="1"/>
  <c r="O386" i="7" s="1"/>
  <c r="O387" i="7" a="1"/>
  <c r="O387" i="7" s="1"/>
  <c r="O388" i="7" a="1"/>
  <c r="O388" i="7" s="1"/>
  <c r="O389" i="7" a="1"/>
  <c r="O389" i="7" s="1"/>
  <c r="O390" i="7" a="1"/>
  <c r="O390" i="7" s="1"/>
  <c r="O391" i="7" a="1"/>
  <c r="O391" i="7" s="1"/>
  <c r="O392" i="7" a="1"/>
  <c r="O392" i="7" s="1"/>
  <c r="O393" i="7" a="1"/>
  <c r="O393" i="7" s="1"/>
  <c r="O394" i="7" a="1"/>
  <c r="O394" i="7" s="1"/>
  <c r="O395" i="7" a="1"/>
  <c r="O395" i="7" s="1"/>
  <c r="O396" i="7" a="1"/>
  <c r="O396" i="7" s="1"/>
  <c r="O397" i="7" a="1"/>
  <c r="O397" i="7" s="1"/>
  <c r="O398" i="7" a="1"/>
  <c r="O398" i="7" s="1"/>
  <c r="O399" i="7" a="1"/>
  <c r="O399" i="7" s="1"/>
  <c r="O400" i="7" a="1"/>
  <c r="O400" i="7" s="1"/>
  <c r="O401" i="7" a="1"/>
  <c r="O401" i="7" s="1"/>
  <c r="O402" i="7" a="1"/>
  <c r="O402" i="7" s="1"/>
  <c r="O403" i="7" a="1"/>
  <c r="O403" i="7" s="1"/>
  <c r="O404" i="7" a="1"/>
  <c r="O404" i="7" s="1"/>
  <c r="O405" i="7" a="1"/>
  <c r="O405" i="7" s="1"/>
  <c r="O406" i="7" a="1"/>
  <c r="O406" i="7" s="1"/>
  <c r="O407" i="7" a="1"/>
  <c r="O407" i="7" s="1"/>
  <c r="O408" i="7" a="1"/>
  <c r="O408" i="7" s="1"/>
  <c r="O409" i="7" a="1"/>
  <c r="O409" i="7" s="1"/>
  <c r="O410" i="7" a="1"/>
  <c r="O410" i="7" s="1"/>
  <c r="O411" i="7" a="1"/>
  <c r="O411" i="7" s="1"/>
  <c r="O412" i="7" a="1"/>
  <c r="O412" i="7" s="1"/>
  <c r="O413" i="7" a="1"/>
  <c r="O413" i="7" s="1"/>
  <c r="O414" i="7" a="1"/>
  <c r="O414" i="7" s="1"/>
  <c r="O415" i="7" a="1"/>
  <c r="O415" i="7" s="1"/>
  <c r="O416" i="7" a="1"/>
  <c r="O416" i="7" s="1"/>
  <c r="O417" i="7" a="1"/>
  <c r="O417" i="7" s="1"/>
  <c r="O418" i="7" a="1"/>
  <c r="O418" i="7" s="1"/>
  <c r="O419" i="7" a="1"/>
  <c r="O419" i="7" s="1"/>
  <c r="O420" i="7" a="1"/>
  <c r="O420" i="7" s="1"/>
  <c r="O421" i="7" a="1"/>
  <c r="O421" i="7" s="1"/>
  <c r="O422" i="7" a="1"/>
  <c r="O422" i="7" s="1"/>
  <c r="O423" i="7" a="1"/>
  <c r="O423" i="7" s="1"/>
  <c r="O424" i="7" a="1"/>
  <c r="O424" i="7" s="1"/>
  <c r="O425" i="7" a="1"/>
  <c r="O425" i="7" s="1"/>
  <c r="O426" i="7" a="1"/>
  <c r="O426" i="7" s="1"/>
  <c r="O427" i="7" a="1"/>
  <c r="O427" i="7" s="1"/>
  <c r="O428" i="7" a="1"/>
  <c r="O428" i="7" s="1"/>
  <c r="O429" i="7" a="1"/>
  <c r="O429" i="7" s="1"/>
  <c r="O430" i="7" a="1"/>
  <c r="O430" i="7" s="1"/>
  <c r="O431" i="7" a="1"/>
  <c r="O431" i="7" s="1"/>
  <c r="O432" i="7" a="1"/>
  <c r="O432" i="7" s="1"/>
  <c r="O433" i="7" a="1"/>
  <c r="O433" i="7" s="1"/>
  <c r="O434" i="7" a="1"/>
  <c r="O434" i="7" s="1"/>
  <c r="O435" i="7" a="1"/>
  <c r="O435" i="7" s="1"/>
  <c r="O436" i="7" a="1"/>
  <c r="O436" i="7" s="1"/>
  <c r="O437" i="7" a="1"/>
  <c r="O437" i="7" s="1"/>
  <c r="O438" i="7" a="1"/>
  <c r="O438" i="7" s="1"/>
  <c r="O439" i="7" a="1"/>
  <c r="O439" i="7" s="1"/>
  <c r="O440" i="7" a="1"/>
  <c r="O440" i="7" s="1"/>
  <c r="O441" i="7" a="1"/>
  <c r="O441" i="7" s="1"/>
  <c r="O442" i="7" a="1"/>
  <c r="O442" i="7" s="1"/>
  <c r="O443" i="7" a="1"/>
  <c r="O443" i="7" s="1"/>
  <c r="O444" i="7" a="1"/>
  <c r="O444" i="7" s="1"/>
  <c r="O445" i="7" a="1"/>
  <c r="O445" i="7" s="1"/>
  <c r="O446" i="7" a="1"/>
  <c r="O446" i="7" s="1"/>
  <c r="O447" i="7" a="1"/>
  <c r="O447" i="7" s="1"/>
  <c r="O448" i="7" a="1"/>
  <c r="O448" i="7" s="1"/>
  <c r="O449" i="7" a="1"/>
  <c r="O449" i="7" s="1"/>
  <c r="O450" i="7" a="1"/>
  <c r="O450" i="7" s="1"/>
  <c r="O451" i="7" a="1"/>
  <c r="O451" i="7" s="1"/>
  <c r="O452" i="7" a="1"/>
  <c r="O452" i="7" s="1"/>
  <c r="O453" i="7" a="1"/>
  <c r="O453" i="7" s="1"/>
  <c r="O454" i="7" a="1"/>
  <c r="O454" i="7" s="1"/>
  <c r="O455" i="7" a="1"/>
  <c r="O455" i="7" s="1"/>
  <c r="O456" i="7" a="1"/>
  <c r="O456" i="7" s="1"/>
  <c r="O457" i="7" a="1"/>
  <c r="O457" i="7" s="1"/>
  <c r="O458" i="7" a="1"/>
  <c r="O458" i="7" s="1"/>
  <c r="O459" i="7" a="1"/>
  <c r="O459" i="7" s="1"/>
  <c r="O460" i="7" a="1"/>
  <c r="O460" i="7" s="1"/>
  <c r="O461" i="7" a="1"/>
  <c r="O461" i="7" s="1"/>
  <c r="O462" i="7" a="1"/>
  <c r="O462" i="7" s="1"/>
  <c r="O463" i="7" a="1"/>
  <c r="O463" i="7" s="1"/>
  <c r="O464" i="7" a="1"/>
  <c r="O464" i="7" s="1"/>
  <c r="O465" i="7" a="1"/>
  <c r="O465" i="7" s="1"/>
  <c r="O466" i="7" a="1"/>
  <c r="O466" i="7" s="1"/>
  <c r="O467" i="7" a="1"/>
  <c r="O467" i="7" s="1"/>
  <c r="O468" i="7" a="1"/>
  <c r="O468" i="7" s="1"/>
  <c r="O469" i="7" a="1"/>
  <c r="O469" i="7" s="1"/>
  <c r="O470" i="7" a="1"/>
  <c r="O470" i="7" s="1"/>
  <c r="O471" i="7" a="1"/>
  <c r="O471" i="7" s="1"/>
  <c r="O472" i="7" a="1"/>
  <c r="O472" i="7" s="1"/>
  <c r="O473" i="7" a="1"/>
  <c r="O473" i="7" s="1"/>
  <c r="O474" i="7" a="1"/>
  <c r="O474" i="7" s="1"/>
  <c r="O475" i="7" a="1"/>
  <c r="O475" i="7" s="1"/>
  <c r="O476" i="7" a="1"/>
  <c r="O476" i="7" s="1"/>
  <c r="O477" i="7" a="1"/>
  <c r="O477" i="7" s="1"/>
  <c r="O478" i="7" a="1"/>
  <c r="O478" i="7" s="1"/>
  <c r="O479" i="7" a="1"/>
  <c r="O479" i="7" s="1"/>
  <c r="O480" i="7" a="1"/>
  <c r="O480" i="7" s="1"/>
  <c r="O481" i="7" a="1"/>
  <c r="O481" i="7" s="1"/>
  <c r="O482" i="7" a="1"/>
  <c r="O482" i="7" s="1"/>
  <c r="O483" i="7" a="1"/>
  <c r="O483" i="7" s="1"/>
  <c r="O484" i="7" a="1"/>
  <c r="O484" i="7" s="1"/>
  <c r="O485" i="7" a="1"/>
  <c r="O485" i="7" s="1"/>
  <c r="O486" i="7" a="1"/>
  <c r="O486" i="7" s="1"/>
  <c r="O487" i="7" a="1"/>
  <c r="O487" i="7" s="1"/>
  <c r="O488" i="7" a="1"/>
  <c r="O488" i="7" s="1"/>
  <c r="O489" i="7" a="1"/>
  <c r="O489" i="7" s="1"/>
  <c r="O490" i="7" a="1"/>
  <c r="O490" i="7" s="1"/>
  <c r="O491" i="7" a="1"/>
  <c r="O491" i="7" s="1"/>
  <c r="O492" i="7" a="1"/>
  <c r="O492" i="7" s="1"/>
  <c r="O493" i="7" a="1"/>
  <c r="O493" i="7" s="1"/>
  <c r="O494" i="7" a="1"/>
  <c r="O494" i="7" s="1"/>
  <c r="O495" i="7" a="1"/>
  <c r="O495" i="7" s="1"/>
  <c r="O496" i="7" a="1"/>
  <c r="O496" i="7" s="1"/>
  <c r="O497" i="7" a="1"/>
  <c r="O497" i="7" s="1"/>
  <c r="O498" i="7" a="1"/>
  <c r="O498" i="7" s="1"/>
  <c r="O499" i="7" a="1"/>
  <c r="O499" i="7" s="1"/>
  <c r="O500" i="7" a="1"/>
  <c r="O500" i="7" s="1"/>
  <c r="O501" i="7" a="1"/>
  <c r="O501" i="7" s="1"/>
  <c r="O502" i="7" a="1"/>
  <c r="O502" i="7" s="1"/>
  <c r="O503" i="7" a="1"/>
  <c r="O503" i="7" s="1"/>
  <c r="O504" i="7" a="1"/>
  <c r="O504" i="7" s="1"/>
  <c r="O505" i="7" a="1"/>
  <c r="O505" i="7" s="1"/>
  <c r="O506" i="7" a="1"/>
  <c r="O506" i="7" s="1"/>
  <c r="O507" i="7" a="1"/>
  <c r="O507" i="7" s="1"/>
  <c r="O508" i="7" a="1"/>
  <c r="O508" i="7" s="1"/>
  <c r="O509" i="7" a="1"/>
  <c r="O509" i="7" s="1"/>
  <c r="O510" i="7" a="1"/>
  <c r="O510" i="7" s="1"/>
  <c r="O511" i="7" a="1"/>
  <c r="O511" i="7" s="1"/>
  <c r="O512" i="7" a="1"/>
  <c r="O512" i="7" s="1"/>
  <c r="O513" i="7" a="1"/>
  <c r="O513" i="7" s="1"/>
  <c r="O514" i="7" a="1"/>
  <c r="O514" i="7" s="1"/>
  <c r="O515" i="7" a="1"/>
  <c r="O515" i="7" s="1"/>
  <c r="O516" i="7" a="1"/>
  <c r="O516" i="7" s="1"/>
  <c r="O517" i="7" a="1"/>
  <c r="O517" i="7" s="1"/>
  <c r="O518" i="7" a="1"/>
  <c r="O518" i="7" s="1"/>
  <c r="O519" i="7" a="1"/>
  <c r="O519" i="7" s="1"/>
  <c r="O520" i="7" a="1"/>
  <c r="O520" i="7" s="1"/>
  <c r="O521" i="7" a="1"/>
  <c r="O521" i="7" s="1"/>
  <c r="O522" i="7" a="1"/>
  <c r="O522" i="7" s="1"/>
  <c r="O523" i="7" a="1"/>
  <c r="O523" i="7" s="1"/>
  <c r="O524" i="7" a="1"/>
  <c r="O524" i="7" s="1"/>
  <c r="O525" i="7" a="1"/>
  <c r="O525" i="7" s="1"/>
  <c r="O526" i="7" a="1"/>
  <c r="O526" i="7" s="1"/>
  <c r="O527" i="7" a="1"/>
  <c r="O527" i="7" s="1"/>
  <c r="O528" i="7" a="1"/>
  <c r="O528" i="7" s="1"/>
  <c r="O529" i="7" a="1"/>
  <c r="O529" i="7" s="1"/>
  <c r="O530" i="7" a="1"/>
  <c r="O530" i="7" s="1"/>
  <c r="O531" i="7" a="1"/>
  <c r="O531" i="7" s="1"/>
  <c r="O532" i="7" a="1"/>
  <c r="O532" i="7" s="1"/>
  <c r="O533" i="7" a="1"/>
  <c r="O533" i="7" s="1"/>
  <c r="O534" i="7" a="1"/>
  <c r="O534" i="7" s="1"/>
  <c r="O535" i="7" a="1"/>
  <c r="O535" i="7" s="1"/>
  <c r="O536" i="7" a="1"/>
  <c r="O536" i="7" s="1"/>
  <c r="O537" i="7" a="1"/>
  <c r="O537" i="7" s="1"/>
  <c r="O538" i="7" a="1"/>
  <c r="O538" i="7" s="1"/>
  <c r="O539" i="7" a="1"/>
  <c r="O539" i="7" s="1"/>
  <c r="O540" i="7" a="1"/>
  <c r="O540" i="7" s="1"/>
  <c r="O541" i="7" a="1"/>
  <c r="O541" i="7" s="1"/>
  <c r="O542" i="7" a="1"/>
  <c r="O542" i="7" s="1"/>
  <c r="O543" i="7" a="1"/>
  <c r="O543" i="7" s="1"/>
  <c r="O544" i="7" a="1"/>
  <c r="O544" i="7" s="1"/>
  <c r="O545" i="7" a="1"/>
  <c r="O545" i="7" s="1"/>
  <c r="O546" i="7" a="1"/>
  <c r="O546" i="7" s="1"/>
  <c r="O547" i="7" a="1"/>
  <c r="O547" i="7" s="1"/>
  <c r="O548" i="7" a="1"/>
  <c r="O548" i="7" s="1"/>
  <c r="O549" i="7" a="1"/>
  <c r="O549" i="7" s="1"/>
  <c r="O550" i="7" a="1"/>
  <c r="O550" i="7" s="1"/>
  <c r="O551" i="7" a="1"/>
  <c r="O551" i="7" s="1"/>
  <c r="O552" i="7" a="1"/>
  <c r="O552" i="7" s="1"/>
  <c r="O553" i="7" a="1"/>
  <c r="O553" i="7" s="1"/>
  <c r="O554" i="7" a="1"/>
  <c r="O554" i="7" s="1"/>
  <c r="O555" i="7" a="1"/>
  <c r="O555" i="7" s="1"/>
  <c r="O556" i="7" a="1"/>
  <c r="O556" i="7" s="1"/>
  <c r="O557" i="7" a="1"/>
  <c r="O557" i="7" s="1"/>
  <c r="O558" i="7" a="1"/>
  <c r="O558" i="7" s="1"/>
  <c r="O559" i="7" a="1"/>
  <c r="O559" i="7" s="1"/>
  <c r="O560" i="7" a="1"/>
  <c r="O560" i="7" s="1"/>
  <c r="O561" i="7" a="1"/>
  <c r="O561" i="7" s="1"/>
  <c r="O562" i="7" a="1"/>
  <c r="O562" i="7" s="1"/>
  <c r="O563" i="7" a="1"/>
  <c r="O563" i="7" s="1"/>
  <c r="O564" i="7" a="1"/>
  <c r="O564" i="7" s="1"/>
  <c r="O565" i="7" a="1"/>
  <c r="O565" i="7" s="1"/>
  <c r="O566" i="7" a="1"/>
  <c r="O566" i="7" s="1"/>
  <c r="O567" i="7" a="1"/>
  <c r="O567" i="7" s="1"/>
  <c r="O568" i="7" a="1"/>
  <c r="O568" i="7" s="1"/>
  <c r="O569" i="7" a="1"/>
  <c r="O569" i="7" s="1"/>
  <c r="O570" i="7" a="1"/>
  <c r="O570" i="7" s="1"/>
  <c r="O571" i="7" a="1"/>
  <c r="O571" i="7" s="1"/>
  <c r="O572" i="7" a="1"/>
  <c r="O572" i="7" s="1"/>
  <c r="O573" i="7" a="1"/>
  <c r="O573" i="7" s="1"/>
  <c r="O574" i="7" a="1"/>
  <c r="O574" i="7" s="1"/>
  <c r="O575" i="7" a="1"/>
  <c r="O575" i="7" s="1"/>
  <c r="O576" i="7" a="1"/>
  <c r="O576" i="7" s="1"/>
  <c r="O577" i="7" a="1"/>
  <c r="O577" i="7" s="1"/>
  <c r="O578" i="7" a="1"/>
  <c r="O578" i="7" s="1"/>
  <c r="O579" i="7" a="1"/>
  <c r="O579" i="7" s="1"/>
  <c r="O580" i="7" a="1"/>
  <c r="O580" i="7" s="1"/>
  <c r="O581" i="7" a="1"/>
  <c r="O581" i="7" s="1"/>
  <c r="O582" i="7" a="1"/>
  <c r="O582" i="7" s="1"/>
  <c r="O583" i="7" a="1"/>
  <c r="O583" i="7" s="1"/>
  <c r="O584" i="7" a="1"/>
  <c r="O584" i="7" s="1"/>
  <c r="O585" i="7" a="1"/>
  <c r="O585" i="7" s="1"/>
  <c r="O586" i="7" a="1"/>
  <c r="O586" i="7" s="1"/>
  <c r="O587" i="7" a="1"/>
  <c r="O587" i="7" s="1"/>
  <c r="O588" i="7" a="1"/>
  <c r="O588" i="7" s="1"/>
  <c r="O589" i="7" a="1"/>
  <c r="O589" i="7" s="1"/>
  <c r="O590" i="7" a="1"/>
  <c r="O590" i="7" s="1"/>
  <c r="O591" i="7" a="1"/>
  <c r="O591" i="7" s="1"/>
  <c r="O592" i="7" a="1"/>
  <c r="O592" i="7" s="1"/>
  <c r="O593" i="7" a="1"/>
  <c r="O593" i="7" s="1"/>
  <c r="O594" i="7" a="1"/>
  <c r="O594" i="7" s="1"/>
  <c r="O595" i="7" a="1"/>
  <c r="O595" i="7" s="1"/>
  <c r="O596" i="7" a="1"/>
  <c r="O596" i="7" s="1"/>
  <c r="O597" i="7" a="1"/>
  <c r="O597" i="7" s="1"/>
  <c r="O598" i="7" a="1"/>
  <c r="O598" i="7" s="1"/>
  <c r="O599" i="7" a="1"/>
  <c r="O599" i="7" s="1"/>
  <c r="O600" i="7" a="1"/>
  <c r="O600" i="7" s="1"/>
  <c r="O601" i="7" a="1"/>
  <c r="O601" i="7" s="1"/>
  <c r="O602" i="7" a="1"/>
  <c r="O602" i="7" s="1"/>
  <c r="O603" i="7" a="1"/>
  <c r="O603" i="7" s="1"/>
  <c r="O604" i="7" a="1"/>
  <c r="O604" i="7" s="1"/>
  <c r="O605" i="7" a="1"/>
  <c r="O605" i="7" s="1"/>
  <c r="O606" i="7" a="1"/>
  <c r="O606" i="7" s="1"/>
  <c r="O607" i="7" a="1"/>
  <c r="O607" i="7" s="1"/>
  <c r="O608" i="7" a="1"/>
  <c r="O608" i="7" s="1"/>
  <c r="O609" i="7" a="1"/>
  <c r="O609" i="7" s="1"/>
  <c r="O610" i="7" a="1"/>
  <c r="O610" i="7" s="1"/>
  <c r="O611" i="7" a="1"/>
  <c r="O611" i="7" s="1"/>
  <c r="O612" i="7" a="1"/>
  <c r="O612" i="7" s="1"/>
  <c r="O613" i="7" a="1"/>
  <c r="O613" i="7" s="1"/>
  <c r="O614" i="7" a="1"/>
  <c r="O614" i="7" s="1"/>
  <c r="O615" i="7" a="1"/>
  <c r="O615" i="7" s="1"/>
  <c r="O616" i="7" a="1"/>
  <c r="O616" i="7" s="1"/>
  <c r="O617" i="7" a="1"/>
  <c r="O617" i="7" s="1"/>
  <c r="O618" i="7" a="1"/>
  <c r="O618" i="7" s="1"/>
  <c r="O619" i="7" a="1"/>
  <c r="O619" i="7" s="1"/>
  <c r="O620" i="7" a="1"/>
  <c r="O620" i="7" s="1"/>
  <c r="O621" i="7" a="1"/>
  <c r="O621" i="7" s="1"/>
  <c r="O622" i="7" a="1"/>
  <c r="O622" i="7" s="1"/>
  <c r="O623" i="7" a="1"/>
  <c r="O623" i="7" s="1"/>
  <c r="O624" i="7" a="1"/>
  <c r="O624" i="7" s="1"/>
  <c r="O625" i="7" a="1"/>
  <c r="O625" i="7" s="1"/>
  <c r="O626" i="7" a="1"/>
  <c r="O626" i="7" s="1"/>
  <c r="O627" i="7" a="1"/>
  <c r="O627" i="7" s="1"/>
  <c r="O628" i="7" a="1"/>
  <c r="O628" i="7" s="1"/>
  <c r="O629" i="7" a="1"/>
  <c r="O629" i="7" s="1"/>
  <c r="O630" i="7" a="1"/>
  <c r="O630" i="7" s="1"/>
  <c r="O631" i="7" a="1"/>
  <c r="O631" i="7" s="1"/>
  <c r="O632" i="7" a="1"/>
  <c r="O632" i="7" s="1"/>
  <c r="O633" i="7" a="1"/>
  <c r="O633" i="7" s="1"/>
  <c r="O634" i="7" a="1"/>
  <c r="O634" i="7" s="1"/>
  <c r="O635" i="7" a="1"/>
  <c r="O635" i="7" s="1"/>
  <c r="O636" i="7" a="1"/>
  <c r="O636" i="7" s="1"/>
  <c r="O637" i="7" a="1"/>
  <c r="O637" i="7" s="1"/>
  <c r="O638" i="7" a="1"/>
  <c r="O638" i="7" s="1"/>
  <c r="O639" i="7" a="1"/>
  <c r="O639" i="7" s="1"/>
  <c r="O640" i="7" a="1"/>
  <c r="O640" i="7" s="1"/>
  <c r="O641" i="7" a="1"/>
  <c r="O641" i="7" s="1"/>
  <c r="O642" i="7" a="1"/>
  <c r="O642" i="7" s="1"/>
  <c r="O643" i="7" a="1"/>
  <c r="O643" i="7" s="1"/>
  <c r="O644" i="7" a="1"/>
  <c r="O644" i="7" s="1"/>
  <c r="O645" i="7" a="1"/>
  <c r="O645" i="7" s="1"/>
  <c r="O646" i="7" a="1"/>
  <c r="O646" i="7" s="1"/>
  <c r="O647" i="7" a="1"/>
  <c r="O647" i="7" s="1"/>
  <c r="O648" i="7" a="1"/>
  <c r="O648" i="7" s="1"/>
  <c r="O649" i="7" a="1"/>
  <c r="O649" i="7" s="1"/>
  <c r="O650" i="7" a="1"/>
  <c r="O650" i="7" s="1"/>
  <c r="O651" i="7" a="1"/>
  <c r="O651" i="7" s="1"/>
  <c r="O652" i="7" a="1"/>
  <c r="O652" i="7" s="1"/>
  <c r="O653" i="7" a="1"/>
  <c r="O653" i="7" s="1"/>
  <c r="O654" i="7" a="1"/>
  <c r="O654" i="7" s="1"/>
  <c r="O655" i="7" a="1"/>
  <c r="O655" i="7" s="1"/>
  <c r="O656" i="7" a="1"/>
  <c r="O656" i="7" s="1"/>
  <c r="O657" i="7" a="1"/>
  <c r="O657" i="7" s="1"/>
  <c r="O658" i="7" a="1"/>
  <c r="O658" i="7" s="1"/>
  <c r="O659" i="7" a="1"/>
  <c r="O659" i="7" s="1"/>
  <c r="O660" i="7" a="1"/>
  <c r="O660" i="7" s="1"/>
  <c r="O661" i="7" a="1"/>
  <c r="O661" i="7" s="1"/>
  <c r="O662" i="7" a="1"/>
  <c r="O662" i="7" s="1"/>
  <c r="O663" i="7" a="1"/>
  <c r="O663" i="7" s="1"/>
  <c r="O664" i="7" a="1"/>
  <c r="O664" i="7" s="1"/>
  <c r="O665" i="7" a="1"/>
  <c r="O665" i="7" s="1"/>
  <c r="O666" i="7" a="1"/>
  <c r="O666" i="7" s="1"/>
  <c r="O667" i="7" a="1"/>
  <c r="O667" i="7" s="1"/>
  <c r="O668" i="7" a="1"/>
  <c r="O668" i="7" s="1"/>
  <c r="O669" i="7" a="1"/>
  <c r="O669" i="7" s="1"/>
  <c r="O670" i="7" a="1"/>
  <c r="O670" i="7" s="1"/>
  <c r="O671" i="7" a="1"/>
  <c r="O671" i="7" s="1"/>
  <c r="O672" i="7" a="1"/>
  <c r="O672" i="7" s="1"/>
  <c r="O673" i="7" a="1"/>
  <c r="O673" i="7" s="1"/>
  <c r="O674" i="7" a="1"/>
  <c r="O674" i="7" s="1"/>
  <c r="O675" i="7" a="1"/>
  <c r="O675" i="7" s="1"/>
  <c r="O676" i="7" a="1"/>
  <c r="O676" i="7" s="1"/>
  <c r="O677" i="7" a="1"/>
  <c r="O677" i="7" s="1"/>
  <c r="O678" i="7" a="1"/>
  <c r="O678" i="7" s="1"/>
  <c r="O679" i="7" a="1"/>
  <c r="O679" i="7" s="1"/>
  <c r="O680" i="7" a="1"/>
  <c r="O680" i="7" s="1"/>
  <c r="O681" i="7" a="1"/>
  <c r="O681" i="7" s="1"/>
  <c r="O682" i="7" a="1"/>
  <c r="O682" i="7" s="1"/>
  <c r="O683" i="7" a="1"/>
  <c r="O683" i="7" s="1"/>
  <c r="O684" i="7" a="1"/>
  <c r="O684" i="7" s="1"/>
  <c r="O685" i="7" a="1"/>
  <c r="O685" i="7" s="1"/>
  <c r="O686" i="7" a="1"/>
  <c r="O686" i="7" s="1"/>
  <c r="O687" i="7" a="1"/>
  <c r="O687" i="7" s="1"/>
  <c r="O688" i="7" a="1"/>
  <c r="O688" i="7" s="1"/>
  <c r="O689" i="7" a="1"/>
  <c r="O689" i="7" s="1"/>
  <c r="O690" i="7" a="1"/>
  <c r="O690" i="7" s="1"/>
  <c r="O691" i="7" a="1"/>
  <c r="O691" i="7" s="1"/>
  <c r="O692" i="7" a="1"/>
  <c r="O692" i="7" s="1"/>
  <c r="O693" i="7" a="1"/>
  <c r="O693" i="7" s="1"/>
  <c r="O694" i="7" a="1"/>
  <c r="O694" i="7" s="1"/>
  <c r="O695" i="7" a="1"/>
  <c r="O695" i="7" s="1"/>
  <c r="O696" i="7" a="1"/>
  <c r="O696" i="7" s="1"/>
  <c r="O697" i="7" a="1"/>
  <c r="O697" i="7" s="1"/>
  <c r="O698" i="7" a="1"/>
  <c r="O698" i="7" s="1"/>
  <c r="O699" i="7" a="1"/>
  <c r="O699" i="7" s="1"/>
  <c r="O700" i="7" a="1"/>
  <c r="O700" i="7" s="1"/>
  <c r="O701" i="7" a="1"/>
  <c r="O701" i="7" s="1"/>
  <c r="O702" i="7" a="1"/>
  <c r="O702" i="7" s="1"/>
  <c r="O703" i="7" a="1"/>
  <c r="O703" i="7" s="1"/>
  <c r="O704" i="7" a="1"/>
  <c r="O704" i="7" s="1"/>
  <c r="O705" i="7" a="1"/>
  <c r="O705" i="7" s="1"/>
  <c r="O706" i="7" a="1"/>
  <c r="O706" i="7" s="1"/>
  <c r="O707" i="7" a="1"/>
  <c r="O707" i="7" s="1"/>
  <c r="O708" i="7" a="1"/>
  <c r="O708" i="7" s="1"/>
  <c r="O709" i="7" a="1"/>
  <c r="O709" i="7" s="1"/>
  <c r="O710" i="7" a="1"/>
  <c r="O710" i="7" s="1"/>
  <c r="O711" i="7" a="1"/>
  <c r="O711" i="7" s="1"/>
  <c r="O712" i="7" a="1"/>
  <c r="O712" i="7" s="1"/>
  <c r="O713" i="7" a="1"/>
  <c r="O713" i="7" s="1"/>
  <c r="O714" i="7" a="1"/>
  <c r="O714" i="7" s="1"/>
  <c r="O715" i="7" a="1"/>
  <c r="O715" i="7" s="1"/>
  <c r="O716" i="7" a="1"/>
  <c r="O716" i="7" s="1"/>
  <c r="O717" i="7" a="1"/>
  <c r="O717" i="7" s="1"/>
  <c r="O718" i="7" a="1"/>
  <c r="O718" i="7" s="1"/>
  <c r="O719" i="7" a="1"/>
  <c r="O719" i="7" s="1"/>
  <c r="O720" i="7" a="1"/>
  <c r="O720" i="7" s="1"/>
  <c r="O721" i="7" a="1"/>
  <c r="O721" i="7" s="1"/>
  <c r="O722" i="7" a="1"/>
  <c r="O722" i="7" s="1"/>
  <c r="O723" i="7" a="1"/>
  <c r="O723" i="7" s="1"/>
  <c r="O724" i="7" a="1"/>
  <c r="O724" i="7" s="1"/>
  <c r="O725" i="7" a="1"/>
  <c r="O725" i="7" s="1"/>
  <c r="O726" i="7" a="1"/>
  <c r="O726" i="7" s="1"/>
  <c r="O727" i="7" a="1"/>
  <c r="O727" i="7" s="1"/>
  <c r="O728" i="7" a="1"/>
  <c r="O728" i="7" s="1"/>
  <c r="O729" i="7" a="1"/>
  <c r="O729" i="7" s="1"/>
  <c r="O730" i="7" a="1"/>
  <c r="O730" i="7" s="1"/>
  <c r="O731" i="7" a="1"/>
  <c r="O731" i="7" s="1"/>
  <c r="O732" i="7" a="1"/>
  <c r="O732" i="7" s="1"/>
  <c r="O733" i="7" a="1"/>
  <c r="O733" i="7" s="1"/>
  <c r="O734" i="7" a="1"/>
  <c r="O734" i="7" s="1"/>
  <c r="O735" i="7" a="1"/>
  <c r="O735" i="7" s="1"/>
  <c r="O736" i="7" a="1"/>
  <c r="O736" i="7" s="1"/>
  <c r="O737" i="7" a="1"/>
  <c r="O737" i="7" s="1"/>
  <c r="O738" i="7" a="1"/>
  <c r="O738" i="7" s="1"/>
  <c r="O739" i="7" a="1"/>
  <c r="O739" i="7" s="1"/>
  <c r="O740" i="7" a="1"/>
  <c r="O740" i="7" s="1"/>
  <c r="O741" i="7" a="1"/>
  <c r="O741" i="7" s="1"/>
  <c r="O742" i="7" a="1"/>
  <c r="O742" i="7" s="1"/>
  <c r="O743" i="7" a="1"/>
  <c r="O743" i="7" s="1"/>
  <c r="O744" i="7" a="1"/>
  <c r="O744" i="7" s="1"/>
  <c r="O745" i="7" a="1"/>
  <c r="O745" i="7" s="1"/>
  <c r="O746" i="7" a="1"/>
  <c r="O746" i="7" s="1"/>
  <c r="O747" i="7" a="1"/>
  <c r="O747" i="7" s="1"/>
  <c r="O748" i="7" a="1"/>
  <c r="O748" i="7" s="1"/>
  <c r="O749" i="7" a="1"/>
  <c r="O749" i="7" s="1"/>
  <c r="O750" i="7" a="1"/>
  <c r="O750" i="7" s="1"/>
  <c r="O751" i="7" a="1"/>
  <c r="O751" i="7" s="1"/>
  <c r="O752" i="7" a="1"/>
  <c r="O752" i="7" s="1"/>
  <c r="O753" i="7" a="1"/>
  <c r="O753" i="7" s="1"/>
  <c r="O754" i="7" a="1"/>
  <c r="O754" i="7" s="1"/>
  <c r="O755" i="7" a="1"/>
  <c r="O755" i="7" s="1"/>
  <c r="O756" i="7" a="1"/>
  <c r="O756" i="7" s="1"/>
  <c r="O757" i="7" a="1"/>
  <c r="O757" i="7" s="1"/>
  <c r="O758" i="7" a="1"/>
  <c r="O758" i="7" s="1"/>
  <c r="O759" i="7" a="1"/>
  <c r="O759" i="7" s="1"/>
  <c r="O760" i="7" a="1"/>
  <c r="O760" i="7" s="1"/>
  <c r="O761" i="7" a="1"/>
  <c r="O761" i="7" s="1"/>
  <c r="O762" i="7" a="1"/>
  <c r="O762" i="7" s="1"/>
  <c r="O763" i="7" a="1"/>
  <c r="O763" i="7" s="1"/>
  <c r="O764" i="7" a="1"/>
  <c r="O764" i="7" s="1"/>
  <c r="O765" i="7" a="1"/>
  <c r="O765" i="7" s="1"/>
  <c r="O766" i="7" a="1"/>
  <c r="O766" i="7" s="1"/>
  <c r="O767" i="7" a="1"/>
  <c r="O767" i="7" s="1"/>
  <c r="O768" i="7" a="1"/>
  <c r="O768" i="7" s="1"/>
  <c r="O769" i="7" a="1"/>
  <c r="O769" i="7" s="1"/>
  <c r="O770" i="7" a="1"/>
  <c r="O770" i="7" s="1"/>
  <c r="O771" i="7" a="1"/>
  <c r="O771" i="7" s="1"/>
  <c r="O772" i="7" a="1"/>
  <c r="O772" i="7" s="1"/>
  <c r="O773" i="7" a="1"/>
  <c r="O773" i="7" s="1"/>
  <c r="O774" i="7" a="1"/>
  <c r="O774" i="7" s="1"/>
  <c r="O775" i="7" a="1"/>
  <c r="O775" i="7" s="1"/>
  <c r="O776" i="7" a="1"/>
  <c r="O776" i="7" s="1"/>
  <c r="O777" i="7" a="1"/>
  <c r="O777" i="7" s="1"/>
  <c r="O778" i="7" a="1"/>
  <c r="O778" i="7" s="1"/>
  <c r="O779" i="7" a="1"/>
  <c r="O779" i="7" s="1"/>
  <c r="O780" i="7" a="1"/>
  <c r="O780" i="7" s="1"/>
  <c r="O781" i="7" a="1"/>
  <c r="O781" i="7" s="1"/>
  <c r="O782" i="7" a="1"/>
  <c r="O782" i="7" s="1"/>
  <c r="O783" i="7" a="1"/>
  <c r="O783" i="7" s="1"/>
  <c r="O784" i="7" a="1"/>
  <c r="O784" i="7" s="1"/>
  <c r="O785" i="7" a="1"/>
  <c r="O785" i="7" s="1"/>
  <c r="O786" i="7" a="1"/>
  <c r="O786" i="7" s="1"/>
  <c r="O787" i="7" a="1"/>
  <c r="O787" i="7" s="1"/>
  <c r="O788" i="7" a="1"/>
  <c r="O788" i="7" s="1"/>
  <c r="O789" i="7" a="1"/>
  <c r="O789" i="7" s="1"/>
  <c r="O790" i="7" a="1"/>
  <c r="O790" i="7" s="1"/>
  <c r="O791" i="7" a="1"/>
  <c r="O791" i="7" s="1"/>
  <c r="O792" i="7" a="1"/>
  <c r="O792" i="7" s="1"/>
  <c r="O793" i="7" a="1"/>
  <c r="O793" i="7" s="1"/>
  <c r="O794" i="7" a="1"/>
  <c r="O794" i="7" s="1"/>
  <c r="O795" i="7" a="1"/>
  <c r="O795" i="7" s="1"/>
  <c r="O796" i="7" a="1"/>
  <c r="O796" i="7" s="1"/>
  <c r="O797" i="7" a="1"/>
  <c r="O797" i="7" s="1"/>
  <c r="O798" i="7" a="1"/>
  <c r="O798" i="7" s="1"/>
  <c r="O799" i="7" a="1"/>
  <c r="O799" i="7" s="1"/>
  <c r="O800" i="7" a="1"/>
  <c r="O800" i="7" s="1"/>
  <c r="O801" i="7" a="1"/>
  <c r="O801" i="7" s="1"/>
  <c r="O802" i="7" a="1"/>
  <c r="O802" i="7" s="1"/>
  <c r="O803" i="7" a="1"/>
  <c r="O803" i="7" s="1"/>
  <c r="O804" i="7" a="1"/>
  <c r="O804" i="7" s="1"/>
  <c r="O805" i="7" a="1"/>
  <c r="O805" i="7" s="1"/>
  <c r="O806" i="7" a="1"/>
  <c r="O806" i="7" s="1"/>
  <c r="O807" i="7" a="1"/>
  <c r="O807" i="7" s="1"/>
  <c r="O808" i="7" a="1"/>
  <c r="O808" i="7" s="1"/>
  <c r="O809" i="7" a="1"/>
  <c r="O809" i="7" s="1"/>
  <c r="O810" i="7" a="1"/>
  <c r="O810" i="7" s="1"/>
  <c r="O811" i="7" a="1"/>
  <c r="O811" i="7" s="1"/>
  <c r="O812" i="7" a="1"/>
  <c r="O812" i="7" s="1"/>
  <c r="O813" i="7" a="1"/>
  <c r="O813" i="7" s="1"/>
  <c r="O814" i="7" a="1"/>
  <c r="O814" i="7" s="1"/>
  <c r="O815" i="7" a="1"/>
  <c r="O815" i="7" s="1"/>
  <c r="O816" i="7" a="1"/>
  <c r="O816" i="7" s="1"/>
  <c r="O817" i="7" a="1"/>
  <c r="O817" i="7" s="1"/>
  <c r="O818" i="7" a="1"/>
  <c r="O818" i="7" s="1"/>
  <c r="O819" i="7" a="1"/>
  <c r="O819" i="7" s="1"/>
  <c r="O820" i="7" a="1"/>
  <c r="O820" i="7" s="1"/>
  <c r="O821" i="7" a="1"/>
  <c r="O821" i="7" s="1"/>
  <c r="O822" i="7" a="1"/>
  <c r="O822" i="7" s="1"/>
  <c r="O823" i="7" a="1"/>
  <c r="O823" i="7" s="1"/>
  <c r="O824" i="7" a="1"/>
  <c r="O824" i="7" s="1"/>
  <c r="O825" i="7" a="1"/>
  <c r="O825" i="7" s="1"/>
  <c r="O826" i="7" a="1"/>
  <c r="O826" i="7" s="1"/>
  <c r="O827" i="7" a="1"/>
  <c r="O827" i="7" s="1"/>
  <c r="O828" i="7" a="1"/>
  <c r="O828" i="7" s="1"/>
  <c r="O829" i="7" a="1"/>
  <c r="O829" i="7" s="1"/>
  <c r="O830" i="7" a="1"/>
  <c r="O830" i="7" s="1"/>
  <c r="O831" i="7" a="1"/>
  <c r="O831" i="7" s="1"/>
  <c r="O832" i="7" a="1"/>
  <c r="O832" i="7" s="1"/>
  <c r="O833" i="7" a="1"/>
  <c r="O833" i="7" s="1"/>
  <c r="O834" i="7" a="1"/>
  <c r="O834" i="7" s="1"/>
  <c r="O835" i="7" a="1"/>
  <c r="O835" i="7" s="1"/>
  <c r="O836" i="7" a="1"/>
  <c r="O836" i="7" s="1"/>
  <c r="O837" i="7" a="1"/>
  <c r="O837" i="7" s="1"/>
  <c r="O838" i="7" a="1"/>
  <c r="O838" i="7" s="1"/>
  <c r="O839" i="7" a="1"/>
  <c r="O839" i="7" s="1"/>
  <c r="O840" i="7" a="1"/>
  <c r="O840" i="7" s="1"/>
  <c r="O841" i="7" a="1"/>
  <c r="O841" i="7" s="1"/>
  <c r="O842" i="7" a="1"/>
  <c r="O842" i="7" s="1"/>
  <c r="O843" i="7" a="1"/>
  <c r="O843" i="7" s="1"/>
  <c r="O844" i="7" a="1"/>
  <c r="O844" i="7" s="1"/>
  <c r="O845" i="7" a="1"/>
  <c r="O845" i="7" s="1"/>
  <c r="O846" i="7" a="1"/>
  <c r="O846" i="7" s="1"/>
  <c r="O847" i="7" a="1"/>
  <c r="O847" i="7" s="1"/>
  <c r="O848" i="7" a="1"/>
  <c r="O848" i="7" s="1"/>
  <c r="O849" i="7" a="1"/>
  <c r="O849" i="7" s="1"/>
  <c r="O850" i="7" a="1"/>
  <c r="O850" i="7" s="1"/>
  <c r="O851" i="7" a="1"/>
  <c r="O851" i="7" s="1"/>
  <c r="O852" i="7" a="1"/>
  <c r="O852" i="7" s="1"/>
  <c r="O853" i="7" a="1"/>
  <c r="O853" i="7" s="1"/>
  <c r="O854" i="7" a="1"/>
  <c r="O854" i="7" s="1"/>
  <c r="O855" i="7" a="1"/>
  <c r="O855" i="7" s="1"/>
  <c r="O856" i="7" a="1"/>
  <c r="O856" i="7" s="1"/>
  <c r="O857" i="7" a="1"/>
  <c r="O857" i="7" s="1"/>
  <c r="O858" i="7" a="1"/>
  <c r="O858" i="7" s="1"/>
  <c r="O859" i="7" a="1"/>
  <c r="O859" i="7" s="1"/>
  <c r="O860" i="7" a="1"/>
  <c r="O860" i="7" s="1"/>
  <c r="O861" i="7" a="1"/>
  <c r="O861" i="7" s="1"/>
  <c r="O862" i="7" a="1"/>
  <c r="O862" i="7" s="1"/>
  <c r="O863" i="7" a="1"/>
  <c r="O863" i="7" s="1"/>
  <c r="O864" i="7" a="1"/>
  <c r="O864" i="7" s="1"/>
  <c r="O865" i="7" a="1"/>
  <c r="O865" i="7" s="1"/>
  <c r="O866" i="7" a="1"/>
  <c r="O866" i="7" s="1"/>
  <c r="O867" i="7" a="1"/>
  <c r="O867" i="7" s="1"/>
  <c r="O868" i="7" a="1"/>
  <c r="O868" i="7" s="1"/>
  <c r="O869" i="7" a="1"/>
  <c r="O869" i="7" s="1"/>
  <c r="O870" i="7" a="1"/>
  <c r="O870" i="7" s="1"/>
  <c r="O871" i="7" a="1"/>
  <c r="O871" i="7" s="1"/>
  <c r="O872" i="7" a="1"/>
  <c r="O872" i="7" s="1"/>
  <c r="O873" i="7" a="1"/>
  <c r="O873" i="7" s="1"/>
  <c r="O874" i="7" a="1"/>
  <c r="O874" i="7" s="1"/>
  <c r="O875" i="7" a="1"/>
  <c r="O875" i="7" s="1"/>
  <c r="O876" i="7" a="1"/>
  <c r="O876" i="7" s="1"/>
  <c r="O877" i="7" a="1"/>
  <c r="O877" i="7" s="1"/>
  <c r="O878" i="7" a="1"/>
  <c r="O878" i="7" s="1"/>
  <c r="O879" i="7" a="1"/>
  <c r="O879" i="7" s="1"/>
  <c r="O880" i="7" a="1"/>
  <c r="O880" i="7" s="1"/>
  <c r="O881" i="7" a="1"/>
  <c r="O881" i="7" s="1"/>
  <c r="O882" i="7" a="1"/>
  <c r="O882" i="7" s="1"/>
  <c r="O883" i="7" a="1"/>
  <c r="O883" i="7" s="1"/>
  <c r="O884" i="7" a="1"/>
  <c r="O884" i="7" s="1"/>
  <c r="O885" i="7" a="1"/>
  <c r="O885" i="7" s="1"/>
  <c r="O886" i="7" a="1"/>
  <c r="O886" i="7" s="1"/>
  <c r="O887" i="7" a="1"/>
  <c r="O887" i="7" s="1"/>
  <c r="O888" i="7" a="1"/>
  <c r="O888" i="7" s="1"/>
  <c r="O889" i="7" a="1"/>
  <c r="O889" i="7" s="1"/>
  <c r="O890" i="7" a="1"/>
  <c r="O890" i="7" s="1"/>
  <c r="O891" i="7" a="1"/>
  <c r="O891" i="7" s="1"/>
  <c r="O892" i="7" a="1"/>
  <c r="O892" i="7" s="1"/>
  <c r="O893" i="7" a="1"/>
  <c r="O893" i="7" s="1"/>
  <c r="O894" i="7" a="1"/>
  <c r="O894" i="7" s="1"/>
  <c r="O895" i="7" a="1"/>
  <c r="O895" i="7" s="1"/>
  <c r="O896" i="7" a="1"/>
  <c r="O896" i="7" s="1"/>
  <c r="O897" i="7" a="1"/>
  <c r="O897" i="7" s="1"/>
  <c r="O898" i="7" a="1"/>
  <c r="O898" i="7" s="1"/>
  <c r="O899" i="7" a="1"/>
  <c r="O899" i="7" s="1"/>
  <c r="O900" i="7" a="1"/>
  <c r="O900" i="7" s="1"/>
  <c r="O901" i="7" a="1"/>
  <c r="O901" i="7" s="1"/>
  <c r="O902" i="7" a="1"/>
  <c r="O902" i="7" s="1"/>
  <c r="O903" i="7" a="1"/>
  <c r="O903" i="7" s="1"/>
  <c r="O904" i="7" a="1"/>
  <c r="O904" i="7" s="1"/>
  <c r="O905" i="7" a="1"/>
  <c r="O905" i="7" s="1"/>
  <c r="O906" i="7" a="1"/>
  <c r="O906" i="7" s="1"/>
  <c r="O907" i="7" a="1"/>
  <c r="O907" i="7" s="1"/>
  <c r="O908" i="7" a="1"/>
  <c r="O908" i="7" s="1"/>
  <c r="O909" i="7" a="1"/>
  <c r="O909" i="7" s="1"/>
  <c r="O910" i="7" a="1"/>
  <c r="O910" i="7" s="1"/>
  <c r="O911" i="7" a="1"/>
  <c r="O911" i="7" s="1"/>
  <c r="O912" i="7" a="1"/>
  <c r="O912" i="7" s="1"/>
  <c r="O913" i="7" a="1"/>
  <c r="O913" i="7" s="1"/>
  <c r="O914" i="7" a="1"/>
  <c r="O914" i="7" s="1"/>
  <c r="O915" i="7" a="1"/>
  <c r="O915" i="7" s="1"/>
  <c r="O916" i="7" a="1"/>
  <c r="O916" i="7" s="1"/>
  <c r="O917" i="7" a="1"/>
  <c r="O917" i="7" s="1"/>
  <c r="O918" i="7" a="1"/>
  <c r="O918" i="7" s="1"/>
  <c r="O919" i="7" a="1"/>
  <c r="O919" i="7" s="1"/>
  <c r="O920" i="7" a="1"/>
  <c r="O920" i="7" s="1"/>
  <c r="O921" i="7" a="1"/>
  <c r="O921" i="7" s="1"/>
  <c r="O922" i="7" a="1"/>
  <c r="O922" i="7" s="1"/>
  <c r="O923" i="7" a="1"/>
  <c r="O923" i="7" s="1"/>
  <c r="O924" i="7" a="1"/>
  <c r="O924" i="7" s="1"/>
  <c r="O925" i="7" a="1"/>
  <c r="O925" i="7" s="1"/>
  <c r="O926" i="7" a="1"/>
  <c r="O926" i="7" s="1"/>
  <c r="O927" i="7" a="1"/>
  <c r="O927" i="7" s="1"/>
  <c r="O928" i="7" a="1"/>
  <c r="O928" i="7" s="1"/>
  <c r="O929" i="7" a="1"/>
  <c r="O929" i="7" s="1"/>
  <c r="O930" i="7" a="1"/>
  <c r="O930" i="7" s="1"/>
  <c r="O931" i="7" a="1"/>
  <c r="O931" i="7" s="1"/>
  <c r="O932" i="7" a="1"/>
  <c r="O932" i="7" s="1"/>
  <c r="O933" i="7" a="1"/>
  <c r="O933" i="7" s="1"/>
  <c r="O934" i="7" a="1"/>
  <c r="O934" i="7" s="1"/>
  <c r="O935" i="7" a="1"/>
  <c r="O935" i="7" s="1"/>
  <c r="O936" i="7" a="1"/>
  <c r="O936" i="7" s="1"/>
  <c r="O937" i="7" a="1"/>
  <c r="O937" i="7" s="1"/>
  <c r="O938" i="7" a="1"/>
  <c r="O938" i="7" s="1"/>
  <c r="O939" i="7" a="1"/>
  <c r="O939" i="7" s="1"/>
  <c r="O940" i="7" a="1"/>
  <c r="O940" i="7" s="1"/>
  <c r="O941" i="7" a="1"/>
  <c r="O941" i="7" s="1"/>
  <c r="O942" i="7" a="1"/>
  <c r="O942" i="7" s="1"/>
  <c r="O943" i="7" a="1"/>
  <c r="O943" i="7" s="1"/>
  <c r="O944" i="7" a="1"/>
  <c r="O944" i="7" s="1"/>
  <c r="O945" i="7" a="1"/>
  <c r="O945" i="7" s="1"/>
  <c r="O946" i="7" a="1"/>
  <c r="O946" i="7" s="1"/>
  <c r="O947" i="7" a="1"/>
  <c r="O947" i="7" s="1"/>
  <c r="O948" i="7" a="1"/>
  <c r="O948" i="7" s="1"/>
  <c r="O949" i="7" a="1"/>
  <c r="O949" i="7" s="1"/>
  <c r="O950" i="7" a="1"/>
  <c r="O950" i="7" s="1"/>
  <c r="O951" i="7" a="1"/>
  <c r="O951" i="7" s="1"/>
  <c r="O952" i="7" a="1"/>
  <c r="O952" i="7" s="1"/>
  <c r="O953" i="7" a="1"/>
  <c r="O953" i="7" s="1"/>
  <c r="O954" i="7" a="1"/>
  <c r="O954" i="7" s="1"/>
  <c r="O955" i="7" a="1"/>
  <c r="O955" i="7" s="1"/>
  <c r="O956" i="7" a="1"/>
  <c r="O956" i="7" s="1"/>
  <c r="O957" i="7" a="1"/>
  <c r="O957" i="7" s="1"/>
  <c r="O958" i="7" a="1"/>
  <c r="O958" i="7" s="1"/>
  <c r="O959" i="7" a="1"/>
  <c r="O959" i="7" s="1"/>
  <c r="O960" i="7" a="1"/>
  <c r="O960" i="7" s="1"/>
  <c r="O961" i="7" a="1"/>
  <c r="O961" i="7" s="1"/>
  <c r="O962" i="7" a="1"/>
  <c r="O962" i="7" s="1"/>
  <c r="O963" i="7" a="1"/>
  <c r="O963" i="7" s="1"/>
  <c r="O964" i="7" a="1"/>
  <c r="O964" i="7" s="1"/>
  <c r="O965" i="7" a="1"/>
  <c r="O965" i="7" s="1"/>
  <c r="O966" i="7" a="1"/>
  <c r="O966" i="7" s="1"/>
  <c r="O967" i="7" a="1"/>
  <c r="O967" i="7" s="1"/>
  <c r="O968" i="7" a="1"/>
  <c r="O968" i="7" s="1"/>
  <c r="O969" i="7" a="1"/>
  <c r="O969" i="7" s="1"/>
  <c r="O970" i="7" a="1"/>
  <c r="O970" i="7" s="1"/>
  <c r="O971" i="7" a="1"/>
  <c r="O971" i="7" s="1"/>
  <c r="O972" i="7" a="1"/>
  <c r="O972" i="7" s="1"/>
  <c r="O973" i="7" a="1"/>
  <c r="O973" i="7" s="1"/>
  <c r="O974" i="7" a="1"/>
  <c r="O974" i="7" s="1"/>
  <c r="O975" i="7" a="1"/>
  <c r="O975" i="7" s="1"/>
  <c r="O976" i="7" a="1"/>
  <c r="O976" i="7" s="1"/>
  <c r="O977" i="7" a="1"/>
  <c r="O977" i="7" s="1"/>
  <c r="O978" i="7" a="1"/>
  <c r="O978" i="7" s="1"/>
  <c r="O979" i="7" a="1"/>
  <c r="O979" i="7" s="1"/>
  <c r="O980" i="7" a="1"/>
  <c r="O980" i="7" s="1"/>
  <c r="O981" i="7" a="1"/>
  <c r="O981" i="7" s="1"/>
  <c r="O982" i="7" a="1"/>
  <c r="O982" i="7" s="1"/>
  <c r="O983" i="7" a="1"/>
  <c r="O983" i="7" s="1"/>
  <c r="O984" i="7" a="1"/>
  <c r="O984" i="7" s="1"/>
  <c r="O985" i="7" a="1"/>
  <c r="O985" i="7" s="1"/>
  <c r="O986" i="7" a="1"/>
  <c r="O986" i="7" s="1"/>
  <c r="O987" i="7" a="1"/>
  <c r="O987" i="7" s="1"/>
  <c r="O988" i="7" a="1"/>
  <c r="O988" i="7" s="1"/>
  <c r="O989" i="7" a="1"/>
  <c r="O989" i="7" s="1"/>
  <c r="O990" i="7" a="1"/>
  <c r="O990" i="7" s="1"/>
  <c r="O991" i="7" a="1"/>
  <c r="O991" i="7" s="1"/>
  <c r="O992" i="7" a="1"/>
  <c r="O992" i="7" s="1"/>
  <c r="O993" i="7" a="1"/>
  <c r="O993" i="7" s="1"/>
  <c r="O994" i="7" a="1"/>
  <c r="O994" i="7" s="1"/>
  <c r="O995" i="7" a="1"/>
  <c r="O995" i="7" s="1"/>
  <c r="O996" i="7" a="1"/>
  <c r="O996" i="7" s="1"/>
  <c r="O997" i="7" a="1"/>
  <c r="O997" i="7" s="1"/>
  <c r="O998" i="7" a="1"/>
  <c r="O998" i="7" s="1"/>
  <c r="O999" i="7" a="1"/>
  <c r="O999" i="7" s="1"/>
  <c r="O1000" i="7" a="1"/>
  <c r="O1000" i="7" s="1"/>
  <c r="O1001" i="7" a="1"/>
  <c r="O1001" i="7" s="1"/>
  <c r="M2" i="7" a="1"/>
  <c r="M2" i="7" s="1"/>
  <c r="M3" i="7" a="1"/>
  <c r="M3" i="7" s="1"/>
  <c r="M4" i="7" a="1"/>
  <c r="M4" i="7" s="1"/>
  <c r="M5" i="7" a="1"/>
  <c r="M5" i="7" s="1"/>
  <c r="M6" i="7" a="1"/>
  <c r="M6" i="7" s="1"/>
  <c r="M7" i="7" a="1"/>
  <c r="M7" i="7" s="1"/>
  <c r="M8" i="7" a="1"/>
  <c r="M8" i="7" s="1"/>
  <c r="M9" i="7" a="1"/>
  <c r="M9" i="7" s="1"/>
  <c r="M10" i="7" a="1"/>
  <c r="M10" i="7" s="1"/>
  <c r="M11" i="7" a="1"/>
  <c r="M11" i="7" s="1"/>
  <c r="M12" i="7" a="1"/>
  <c r="M12" i="7" s="1"/>
  <c r="M13" i="7" a="1"/>
  <c r="M13" i="7" s="1"/>
  <c r="M14" i="7" a="1"/>
  <c r="M14" i="7" s="1"/>
  <c r="M15" i="7" a="1"/>
  <c r="M15" i="7" s="1"/>
  <c r="M16" i="7" a="1"/>
  <c r="M16" i="7" s="1"/>
  <c r="M17" i="7" a="1"/>
  <c r="M17" i="7" s="1"/>
  <c r="M18" i="7" a="1"/>
  <c r="M18" i="7" s="1"/>
  <c r="M19" i="7" a="1"/>
  <c r="M19" i="7" s="1"/>
  <c r="M20" i="7" a="1"/>
  <c r="M20" i="7" s="1"/>
  <c r="M21" i="7" a="1"/>
  <c r="M21" i="7" s="1"/>
  <c r="M22" i="7" a="1"/>
  <c r="M22" i="7" s="1"/>
  <c r="M23" i="7" a="1"/>
  <c r="M23" i="7" s="1"/>
  <c r="M24" i="7" a="1"/>
  <c r="M24" i="7" s="1"/>
  <c r="M25" i="7" a="1"/>
  <c r="M25" i="7" s="1"/>
  <c r="M26" i="7" a="1"/>
  <c r="M26" i="7" s="1"/>
  <c r="M27" i="7" a="1"/>
  <c r="M27" i="7" s="1"/>
  <c r="M28" i="7" a="1"/>
  <c r="M28" i="7" s="1"/>
  <c r="M29" i="7" a="1"/>
  <c r="M29" i="7" s="1"/>
  <c r="M30" i="7" a="1"/>
  <c r="M30" i="7" s="1"/>
  <c r="M31" i="7" a="1"/>
  <c r="M31" i="7" s="1"/>
  <c r="M32" i="7" a="1"/>
  <c r="M32" i="7" s="1"/>
  <c r="M33" i="7" a="1"/>
  <c r="M33" i="7" s="1"/>
  <c r="M34" i="7" a="1"/>
  <c r="M34" i="7" s="1"/>
  <c r="M35" i="7" a="1"/>
  <c r="M35" i="7" s="1"/>
  <c r="M36" i="7" a="1"/>
  <c r="M36" i="7" s="1"/>
  <c r="M37" i="7" a="1"/>
  <c r="M37" i="7" s="1"/>
  <c r="M38" i="7" a="1"/>
  <c r="M38" i="7" s="1"/>
  <c r="M39" i="7" a="1"/>
  <c r="M39" i="7" s="1"/>
  <c r="M40" i="7" a="1"/>
  <c r="M40" i="7" s="1"/>
  <c r="M41" i="7" a="1"/>
  <c r="M41" i="7" s="1"/>
  <c r="M42" i="7" a="1"/>
  <c r="M42" i="7" s="1"/>
  <c r="M43" i="7" a="1"/>
  <c r="M43" i="7" s="1"/>
  <c r="M44" i="7" a="1"/>
  <c r="M44" i="7" s="1"/>
  <c r="M45" i="7" a="1"/>
  <c r="M45" i="7" s="1"/>
  <c r="M46" i="7" a="1"/>
  <c r="M46" i="7" s="1"/>
  <c r="M47" i="7" a="1"/>
  <c r="M47" i="7" s="1"/>
  <c r="M48" i="7" a="1"/>
  <c r="M48" i="7" s="1"/>
  <c r="M49" i="7" a="1"/>
  <c r="M49" i="7" s="1"/>
  <c r="M50" i="7" a="1"/>
  <c r="M50" i="7" s="1"/>
  <c r="M51" i="7" a="1"/>
  <c r="M51" i="7" s="1"/>
  <c r="M52" i="7" a="1"/>
  <c r="M52" i="7" s="1"/>
  <c r="M53" i="7" a="1"/>
  <c r="M53" i="7" s="1"/>
  <c r="M54" i="7" a="1"/>
  <c r="M54" i="7" s="1"/>
  <c r="M55" i="7" a="1"/>
  <c r="M55" i="7" s="1"/>
  <c r="M56" i="7" a="1"/>
  <c r="M56" i="7" s="1"/>
  <c r="M57" i="7" a="1"/>
  <c r="M57" i="7" s="1"/>
  <c r="M58" i="7" a="1"/>
  <c r="M58" i="7" s="1"/>
  <c r="M59" i="7" a="1"/>
  <c r="M59" i="7" s="1"/>
  <c r="M60" i="7" a="1"/>
  <c r="M60" i="7" s="1"/>
  <c r="M61" i="7" a="1"/>
  <c r="M61" i="7" s="1"/>
  <c r="M62" i="7" a="1"/>
  <c r="M62" i="7" s="1"/>
  <c r="M63" i="7" a="1"/>
  <c r="M63" i="7" s="1"/>
  <c r="M64" i="7" a="1"/>
  <c r="M64" i="7" s="1"/>
  <c r="M65" i="7" a="1"/>
  <c r="M65" i="7" s="1"/>
  <c r="M66" i="7" a="1"/>
  <c r="M66" i="7" s="1"/>
  <c r="M67" i="7" a="1"/>
  <c r="M67" i="7" s="1"/>
  <c r="M68" i="7" a="1"/>
  <c r="M68" i="7" s="1"/>
  <c r="M69" i="7" a="1"/>
  <c r="M69" i="7" s="1"/>
  <c r="M70" i="7" a="1"/>
  <c r="M70" i="7" s="1"/>
  <c r="M71" i="7" a="1"/>
  <c r="M71" i="7" s="1"/>
  <c r="M72" i="7" a="1"/>
  <c r="M72" i="7" s="1"/>
  <c r="M73" i="7" a="1"/>
  <c r="M73" i="7" s="1"/>
  <c r="M74" i="7" a="1"/>
  <c r="M74" i="7" s="1"/>
  <c r="M75" i="7" a="1"/>
  <c r="M75" i="7" s="1"/>
  <c r="M76" i="7" a="1"/>
  <c r="M76" i="7" s="1"/>
  <c r="M77" i="7" a="1"/>
  <c r="M77" i="7" s="1"/>
  <c r="M78" i="7" a="1"/>
  <c r="M78" i="7" s="1"/>
  <c r="M79" i="7" a="1"/>
  <c r="M79" i="7" s="1"/>
  <c r="M80" i="7" a="1"/>
  <c r="M80" i="7" s="1"/>
  <c r="M81" i="7" a="1"/>
  <c r="M81" i="7" s="1"/>
  <c r="M82" i="7" a="1"/>
  <c r="M82" i="7" s="1"/>
  <c r="M83" i="7" a="1"/>
  <c r="M83" i="7" s="1"/>
  <c r="M84" i="7" a="1"/>
  <c r="M84" i="7" s="1"/>
  <c r="M85" i="7" a="1"/>
  <c r="M85" i="7" s="1"/>
  <c r="M86" i="7" a="1"/>
  <c r="M86" i="7" s="1"/>
  <c r="M87" i="7" a="1"/>
  <c r="M87" i="7" s="1"/>
  <c r="M88" i="7" a="1"/>
  <c r="M88" i="7" s="1"/>
  <c r="M89" i="7" a="1"/>
  <c r="M89" i="7" s="1"/>
  <c r="M90" i="7" a="1"/>
  <c r="M90" i="7" s="1"/>
  <c r="M91" i="7" a="1"/>
  <c r="M91" i="7" s="1"/>
  <c r="M92" i="7" a="1"/>
  <c r="M92" i="7" s="1"/>
  <c r="M93" i="7" a="1"/>
  <c r="M93" i="7" s="1"/>
  <c r="M94" i="7" a="1"/>
  <c r="M94" i="7" s="1"/>
  <c r="M95" i="7" a="1"/>
  <c r="M95" i="7" s="1"/>
  <c r="M96" i="7" a="1"/>
  <c r="M96" i="7" s="1"/>
  <c r="M97" i="7" a="1"/>
  <c r="M97" i="7" s="1"/>
  <c r="M98" i="7" a="1"/>
  <c r="M98" i="7" s="1"/>
  <c r="M99" i="7" a="1"/>
  <c r="M99" i="7" s="1"/>
  <c r="M100" i="7" a="1"/>
  <c r="M100" i="7" s="1"/>
  <c r="M101" i="7" a="1"/>
  <c r="M101" i="7" s="1"/>
  <c r="M102" i="7" a="1"/>
  <c r="M102" i="7" s="1"/>
  <c r="M103" i="7" a="1"/>
  <c r="M103" i="7" s="1"/>
  <c r="M104" i="7" a="1"/>
  <c r="M104" i="7" s="1"/>
  <c r="M105" i="7" a="1"/>
  <c r="M105" i="7" s="1"/>
  <c r="M106" i="7" a="1"/>
  <c r="M106" i="7" s="1"/>
  <c r="M107" i="7" a="1"/>
  <c r="M107" i="7" s="1"/>
  <c r="M108" i="7" a="1"/>
  <c r="M108" i="7" s="1"/>
  <c r="M109" i="7" a="1"/>
  <c r="M109" i="7" s="1"/>
  <c r="M110" i="7" a="1"/>
  <c r="M110" i="7" s="1"/>
  <c r="M111" i="7" a="1"/>
  <c r="M111" i="7" s="1"/>
  <c r="M112" i="7" a="1"/>
  <c r="M112" i="7" s="1"/>
  <c r="M113" i="7" a="1"/>
  <c r="M113" i="7" s="1"/>
  <c r="M114" i="7" a="1"/>
  <c r="M114" i="7" s="1"/>
  <c r="M115" i="7" a="1"/>
  <c r="M115" i="7" s="1"/>
  <c r="M116" i="7" a="1"/>
  <c r="M116" i="7" s="1"/>
  <c r="M117" i="7" a="1"/>
  <c r="M117" i="7" s="1"/>
  <c r="M118" i="7" a="1"/>
  <c r="M118" i="7" s="1"/>
  <c r="M119" i="7" a="1"/>
  <c r="M119" i="7" s="1"/>
  <c r="M120" i="7" a="1"/>
  <c r="M120" i="7" s="1"/>
  <c r="M121" i="7" a="1"/>
  <c r="M121" i="7" s="1"/>
  <c r="M122" i="7" a="1"/>
  <c r="M122" i="7" s="1"/>
  <c r="M123" i="7" a="1"/>
  <c r="M123" i="7" s="1"/>
  <c r="M124" i="7" a="1"/>
  <c r="M124" i="7" s="1"/>
  <c r="M125" i="7" a="1"/>
  <c r="M125" i="7" s="1"/>
  <c r="M126" i="7" a="1"/>
  <c r="M126" i="7" s="1"/>
  <c r="M127" i="7" a="1"/>
  <c r="M127" i="7" s="1"/>
  <c r="M128" i="7" a="1"/>
  <c r="M128" i="7" s="1"/>
  <c r="M129" i="7" a="1"/>
  <c r="M129" i="7" s="1"/>
  <c r="M130" i="7" a="1"/>
  <c r="M130" i="7" s="1"/>
  <c r="M131" i="7" a="1"/>
  <c r="M131" i="7" s="1"/>
  <c r="M132" i="7" a="1"/>
  <c r="M132" i="7" s="1"/>
  <c r="M133" i="7" a="1"/>
  <c r="M133" i="7" s="1"/>
  <c r="M134" i="7" a="1"/>
  <c r="M134" i="7" s="1"/>
  <c r="M135" i="7" a="1"/>
  <c r="M135" i="7" s="1"/>
  <c r="M136" i="7" a="1"/>
  <c r="M136" i="7" s="1"/>
  <c r="M137" i="7" a="1"/>
  <c r="M137" i="7" s="1"/>
  <c r="M138" i="7" a="1"/>
  <c r="M138" i="7" s="1"/>
  <c r="M139" i="7" a="1"/>
  <c r="M139" i="7" s="1"/>
  <c r="M140" i="7" a="1"/>
  <c r="M140" i="7" s="1"/>
  <c r="M141" i="7" a="1"/>
  <c r="M141" i="7" s="1"/>
  <c r="M142" i="7" a="1"/>
  <c r="M142" i="7" s="1"/>
  <c r="M143" i="7" a="1"/>
  <c r="M143" i="7" s="1"/>
  <c r="M144" i="7" a="1"/>
  <c r="M144" i="7" s="1"/>
  <c r="M145" i="7" a="1"/>
  <c r="M145" i="7" s="1"/>
  <c r="M146" i="7" a="1"/>
  <c r="M146" i="7" s="1"/>
  <c r="M147" i="7" a="1"/>
  <c r="M147" i="7" s="1"/>
  <c r="M148" i="7" a="1"/>
  <c r="M148" i="7" s="1"/>
  <c r="M149" i="7" a="1"/>
  <c r="M149" i="7" s="1"/>
  <c r="M150" i="7" a="1"/>
  <c r="M150" i="7" s="1"/>
  <c r="M151" i="7" a="1"/>
  <c r="M151" i="7" s="1"/>
  <c r="M152" i="7" a="1"/>
  <c r="M152" i="7" s="1"/>
  <c r="M153" i="7" a="1"/>
  <c r="M153" i="7" s="1"/>
  <c r="M154" i="7" a="1"/>
  <c r="M154" i="7" s="1"/>
  <c r="M155" i="7" a="1"/>
  <c r="M155" i="7" s="1"/>
  <c r="M156" i="7" a="1"/>
  <c r="M156" i="7" s="1"/>
  <c r="M157" i="7" a="1"/>
  <c r="M157" i="7" s="1"/>
  <c r="M158" i="7" a="1"/>
  <c r="M158" i="7" s="1"/>
  <c r="M159" i="7" a="1"/>
  <c r="M159" i="7" s="1"/>
  <c r="M160" i="7" a="1"/>
  <c r="M160" i="7" s="1"/>
  <c r="M161" i="7" a="1"/>
  <c r="M161" i="7" s="1"/>
  <c r="M162" i="7" a="1"/>
  <c r="M162" i="7" s="1"/>
  <c r="M163" i="7" a="1"/>
  <c r="M163" i="7" s="1"/>
  <c r="M164" i="7" a="1"/>
  <c r="M164" i="7" s="1"/>
  <c r="M165" i="7" a="1"/>
  <c r="M165" i="7" s="1"/>
  <c r="M166" i="7" a="1"/>
  <c r="M166" i="7" s="1"/>
  <c r="M167" i="7" a="1"/>
  <c r="M167" i="7" s="1"/>
  <c r="M168" i="7" a="1"/>
  <c r="M168" i="7" s="1"/>
  <c r="M169" i="7" a="1"/>
  <c r="M169" i="7" s="1"/>
  <c r="M170" i="7" a="1"/>
  <c r="M170" i="7" s="1"/>
  <c r="M171" i="7" a="1"/>
  <c r="M171" i="7" s="1"/>
  <c r="M172" i="7" a="1"/>
  <c r="M172" i="7" s="1"/>
  <c r="M173" i="7" a="1"/>
  <c r="M173" i="7" s="1"/>
  <c r="M174" i="7" a="1"/>
  <c r="M174" i="7" s="1"/>
  <c r="M175" i="7" a="1"/>
  <c r="M175" i="7" s="1"/>
  <c r="M176" i="7" a="1"/>
  <c r="M176" i="7" s="1"/>
  <c r="M177" i="7" a="1"/>
  <c r="M177" i="7" s="1"/>
  <c r="M178" i="7" a="1"/>
  <c r="M178" i="7" s="1"/>
  <c r="M179" i="7" a="1"/>
  <c r="M179" i="7" s="1"/>
  <c r="M180" i="7" a="1"/>
  <c r="M180" i="7" s="1"/>
  <c r="M181" i="7" a="1"/>
  <c r="M181" i="7" s="1"/>
  <c r="M182" i="7" a="1"/>
  <c r="M182" i="7" s="1"/>
  <c r="M183" i="7" a="1"/>
  <c r="M183" i="7" s="1"/>
  <c r="M184" i="7" a="1"/>
  <c r="M184" i="7" s="1"/>
  <c r="M185" i="7" a="1"/>
  <c r="M185" i="7" s="1"/>
  <c r="M186" i="7" a="1"/>
  <c r="M186" i="7" s="1"/>
  <c r="M187" i="7" a="1"/>
  <c r="M187" i="7" s="1"/>
  <c r="M188" i="7" a="1"/>
  <c r="M188" i="7" s="1"/>
  <c r="M189" i="7" a="1"/>
  <c r="M189" i="7" s="1"/>
  <c r="M190" i="7" a="1"/>
  <c r="M190" i="7" s="1"/>
  <c r="M191" i="7" a="1"/>
  <c r="M191" i="7" s="1"/>
  <c r="M192" i="7" a="1"/>
  <c r="M192" i="7" s="1"/>
  <c r="M193" i="7" a="1"/>
  <c r="M193" i="7" s="1"/>
  <c r="M194" i="7" a="1"/>
  <c r="M194" i="7" s="1"/>
  <c r="M195" i="7" a="1"/>
  <c r="M195" i="7" s="1"/>
  <c r="M196" i="7" a="1"/>
  <c r="M196" i="7" s="1"/>
  <c r="M197" i="7" a="1"/>
  <c r="M197" i="7" s="1"/>
  <c r="M198" i="7" a="1"/>
  <c r="M198" i="7" s="1"/>
  <c r="M199" i="7" a="1"/>
  <c r="M199" i="7" s="1"/>
  <c r="M200" i="7" a="1"/>
  <c r="M200" i="7" s="1"/>
  <c r="M201" i="7" a="1"/>
  <c r="M201" i="7" s="1"/>
  <c r="M202" i="7" a="1"/>
  <c r="M202" i="7" s="1"/>
  <c r="M203" i="7" a="1"/>
  <c r="M203" i="7" s="1"/>
  <c r="M204" i="7" a="1"/>
  <c r="M204" i="7" s="1"/>
  <c r="M205" i="7" a="1"/>
  <c r="M205" i="7" s="1"/>
  <c r="M206" i="7" a="1"/>
  <c r="M206" i="7" s="1"/>
  <c r="M207" i="7" a="1"/>
  <c r="M207" i="7" s="1"/>
  <c r="M208" i="7" a="1"/>
  <c r="M208" i="7" s="1"/>
  <c r="M209" i="7" a="1"/>
  <c r="M209" i="7" s="1"/>
  <c r="M210" i="7" a="1"/>
  <c r="M210" i="7" s="1"/>
  <c r="M211" i="7" a="1"/>
  <c r="M211" i="7" s="1"/>
  <c r="M212" i="7" a="1"/>
  <c r="M212" i="7" s="1"/>
  <c r="M213" i="7" a="1"/>
  <c r="M213" i="7" s="1"/>
  <c r="M214" i="7" a="1"/>
  <c r="M214" i="7" s="1"/>
  <c r="M215" i="7" a="1"/>
  <c r="M215" i="7" s="1"/>
  <c r="M216" i="7" a="1"/>
  <c r="M216" i="7" s="1"/>
  <c r="M217" i="7" a="1"/>
  <c r="M217" i="7" s="1"/>
  <c r="M218" i="7" a="1"/>
  <c r="M218" i="7" s="1"/>
  <c r="M219" i="7" a="1"/>
  <c r="M219" i="7" s="1"/>
  <c r="M220" i="7" a="1"/>
  <c r="M220" i="7" s="1"/>
  <c r="M221" i="7" a="1"/>
  <c r="M221" i="7" s="1"/>
  <c r="M222" i="7" a="1"/>
  <c r="M222" i="7" s="1"/>
  <c r="M223" i="7" a="1"/>
  <c r="M223" i="7" s="1"/>
  <c r="M224" i="7" a="1"/>
  <c r="M224" i="7" s="1"/>
  <c r="M225" i="7" a="1"/>
  <c r="M225" i="7" s="1"/>
  <c r="M226" i="7" a="1"/>
  <c r="M226" i="7" s="1"/>
  <c r="M227" i="7" a="1"/>
  <c r="M227" i="7" s="1"/>
  <c r="M228" i="7" a="1"/>
  <c r="M228" i="7" s="1"/>
  <c r="M229" i="7" a="1"/>
  <c r="M229" i="7" s="1"/>
  <c r="M230" i="7" a="1"/>
  <c r="M230" i="7" s="1"/>
  <c r="M231" i="7" a="1"/>
  <c r="M231" i="7" s="1"/>
  <c r="M232" i="7" a="1"/>
  <c r="M232" i="7" s="1"/>
  <c r="M233" i="7" a="1"/>
  <c r="M233" i="7" s="1"/>
  <c r="M234" i="7" a="1"/>
  <c r="M234" i="7" s="1"/>
  <c r="M235" i="7" a="1"/>
  <c r="M235" i="7" s="1"/>
  <c r="M236" i="7" a="1"/>
  <c r="M236" i="7" s="1"/>
  <c r="M237" i="7" a="1"/>
  <c r="M237" i="7" s="1"/>
  <c r="M238" i="7" a="1"/>
  <c r="M238" i="7" s="1"/>
  <c r="M239" i="7" a="1"/>
  <c r="M239" i="7" s="1"/>
  <c r="M240" i="7" a="1"/>
  <c r="M240" i="7" s="1"/>
  <c r="M241" i="7" a="1"/>
  <c r="M241" i="7" s="1"/>
  <c r="M242" i="7" a="1"/>
  <c r="M242" i="7" s="1"/>
  <c r="M243" i="7" a="1"/>
  <c r="M243" i="7" s="1"/>
  <c r="M244" i="7" a="1"/>
  <c r="M244" i="7" s="1"/>
  <c r="M245" i="7" a="1"/>
  <c r="M245" i="7" s="1"/>
  <c r="M246" i="7" a="1"/>
  <c r="M246" i="7" s="1"/>
  <c r="M247" i="7" a="1"/>
  <c r="M247" i="7" s="1"/>
  <c r="M248" i="7" a="1"/>
  <c r="M248" i="7" s="1"/>
  <c r="M249" i="7" a="1"/>
  <c r="M249" i="7" s="1"/>
  <c r="M250" i="7" a="1"/>
  <c r="M250" i="7" s="1"/>
  <c r="M251" i="7" a="1"/>
  <c r="M251" i="7" s="1"/>
  <c r="M252" i="7" a="1"/>
  <c r="M252" i="7" s="1"/>
  <c r="M253" i="7" a="1"/>
  <c r="M253" i="7" s="1"/>
  <c r="M254" i="7" a="1"/>
  <c r="M254" i="7" s="1"/>
  <c r="M255" i="7" a="1"/>
  <c r="M255" i="7" s="1"/>
  <c r="M256" i="7" a="1"/>
  <c r="M256" i="7" s="1"/>
  <c r="M257" i="7" a="1"/>
  <c r="M257" i="7" s="1"/>
  <c r="M258" i="7" a="1"/>
  <c r="M258" i="7" s="1"/>
  <c r="M259" i="7" a="1"/>
  <c r="M259" i="7" s="1"/>
  <c r="M260" i="7" a="1"/>
  <c r="M260" i="7" s="1"/>
  <c r="M261" i="7" a="1"/>
  <c r="M261" i="7" s="1"/>
  <c r="M262" i="7" a="1"/>
  <c r="M262" i="7" s="1"/>
  <c r="M263" i="7" a="1"/>
  <c r="M263" i="7" s="1"/>
  <c r="M264" i="7" a="1"/>
  <c r="M264" i="7" s="1"/>
  <c r="M265" i="7" a="1"/>
  <c r="M265" i="7" s="1"/>
  <c r="M266" i="7" a="1"/>
  <c r="M266" i="7" s="1"/>
  <c r="M267" i="7" a="1"/>
  <c r="M267" i="7" s="1"/>
  <c r="M268" i="7" a="1"/>
  <c r="M268" i="7" s="1"/>
  <c r="M269" i="7" a="1"/>
  <c r="M269" i="7" s="1"/>
  <c r="M270" i="7" a="1"/>
  <c r="M270" i="7" s="1"/>
  <c r="M271" i="7" a="1"/>
  <c r="M271" i="7" s="1"/>
  <c r="M272" i="7" a="1"/>
  <c r="M272" i="7" s="1"/>
  <c r="M273" i="7" a="1"/>
  <c r="M273" i="7" s="1"/>
  <c r="M274" i="7" a="1"/>
  <c r="M274" i="7" s="1"/>
  <c r="M275" i="7" a="1"/>
  <c r="M275" i="7" s="1"/>
  <c r="M276" i="7" a="1"/>
  <c r="M276" i="7" s="1"/>
  <c r="M277" i="7" a="1"/>
  <c r="M277" i="7" s="1"/>
  <c r="M278" i="7" a="1"/>
  <c r="M278" i="7" s="1"/>
  <c r="M279" i="7" a="1"/>
  <c r="M279" i="7" s="1"/>
  <c r="M280" i="7" a="1"/>
  <c r="M280" i="7" s="1"/>
  <c r="M281" i="7" a="1"/>
  <c r="M281" i="7" s="1"/>
  <c r="M282" i="7" a="1"/>
  <c r="M282" i="7" s="1"/>
  <c r="M283" i="7" a="1"/>
  <c r="M283" i="7" s="1"/>
  <c r="M284" i="7" a="1"/>
  <c r="M284" i="7" s="1"/>
  <c r="M285" i="7" a="1"/>
  <c r="M285" i="7" s="1"/>
  <c r="M286" i="7" a="1"/>
  <c r="M286" i="7" s="1"/>
  <c r="M287" i="7" a="1"/>
  <c r="M287" i="7" s="1"/>
  <c r="M288" i="7" a="1"/>
  <c r="M288" i="7" s="1"/>
  <c r="M289" i="7" a="1"/>
  <c r="M289" i="7" s="1"/>
  <c r="M290" i="7" a="1"/>
  <c r="M290" i="7" s="1"/>
  <c r="M291" i="7" a="1"/>
  <c r="M291" i="7" s="1"/>
  <c r="M292" i="7" a="1"/>
  <c r="M292" i="7" s="1"/>
  <c r="M293" i="7" a="1"/>
  <c r="M293" i="7" s="1"/>
  <c r="M294" i="7" a="1"/>
  <c r="M294" i="7" s="1"/>
  <c r="M295" i="7" a="1"/>
  <c r="M295" i="7" s="1"/>
  <c r="M296" i="7" a="1"/>
  <c r="M296" i="7" s="1"/>
  <c r="M297" i="7" a="1"/>
  <c r="M297" i="7" s="1"/>
  <c r="M298" i="7" a="1"/>
  <c r="M298" i="7" s="1"/>
  <c r="M299" i="7" a="1"/>
  <c r="M299" i="7" s="1"/>
  <c r="M300" i="7" a="1"/>
  <c r="M300" i="7" s="1"/>
  <c r="M301" i="7" a="1"/>
  <c r="M301" i="7" s="1"/>
  <c r="M302" i="7" a="1"/>
  <c r="M302" i="7" s="1"/>
  <c r="M303" i="7" a="1"/>
  <c r="M303" i="7" s="1"/>
  <c r="M304" i="7" a="1"/>
  <c r="M304" i="7" s="1"/>
  <c r="M305" i="7" a="1"/>
  <c r="M305" i="7" s="1"/>
  <c r="M306" i="7" a="1"/>
  <c r="M306" i="7" s="1"/>
  <c r="M307" i="7" a="1"/>
  <c r="M307" i="7" s="1"/>
  <c r="M308" i="7" a="1"/>
  <c r="M308" i="7" s="1"/>
  <c r="M309" i="7" a="1"/>
  <c r="M309" i="7" s="1"/>
  <c r="M310" i="7" a="1"/>
  <c r="M310" i="7" s="1"/>
  <c r="M311" i="7" a="1"/>
  <c r="M311" i="7" s="1"/>
  <c r="M312" i="7" a="1"/>
  <c r="M312" i="7" s="1"/>
  <c r="M313" i="7" a="1"/>
  <c r="M313" i="7" s="1"/>
  <c r="M314" i="7" a="1"/>
  <c r="M314" i="7" s="1"/>
  <c r="M315" i="7" a="1"/>
  <c r="M315" i="7" s="1"/>
  <c r="M316" i="7" a="1"/>
  <c r="M316" i="7" s="1"/>
  <c r="M317" i="7" a="1"/>
  <c r="M317" i="7" s="1"/>
  <c r="M318" i="7" a="1"/>
  <c r="M318" i="7" s="1"/>
  <c r="M319" i="7" a="1"/>
  <c r="M319" i="7" s="1"/>
  <c r="M320" i="7" a="1"/>
  <c r="M320" i="7" s="1"/>
  <c r="M321" i="7" a="1"/>
  <c r="M321" i="7" s="1"/>
  <c r="M322" i="7" a="1"/>
  <c r="M322" i="7" s="1"/>
  <c r="M323" i="7" a="1"/>
  <c r="M323" i="7" s="1"/>
  <c r="M324" i="7" a="1"/>
  <c r="M324" i="7" s="1"/>
  <c r="M325" i="7" a="1"/>
  <c r="M325" i="7" s="1"/>
  <c r="M326" i="7" a="1"/>
  <c r="M326" i="7" s="1"/>
  <c r="M327" i="7" a="1"/>
  <c r="M327" i="7" s="1"/>
  <c r="M328" i="7" a="1"/>
  <c r="M328" i="7" s="1"/>
  <c r="M329" i="7" a="1"/>
  <c r="M329" i="7" s="1"/>
  <c r="M330" i="7" a="1"/>
  <c r="M330" i="7" s="1"/>
  <c r="M331" i="7" a="1"/>
  <c r="M331" i="7" s="1"/>
  <c r="M332" i="7" a="1"/>
  <c r="M332" i="7" s="1"/>
  <c r="M333" i="7" a="1"/>
  <c r="M333" i="7" s="1"/>
  <c r="M334" i="7" a="1"/>
  <c r="M334" i="7" s="1"/>
  <c r="M335" i="7" a="1"/>
  <c r="M335" i="7" s="1"/>
  <c r="M336" i="7" a="1"/>
  <c r="M336" i="7" s="1"/>
  <c r="M337" i="7" a="1"/>
  <c r="M337" i="7" s="1"/>
  <c r="M338" i="7" a="1"/>
  <c r="M338" i="7" s="1"/>
  <c r="M339" i="7" a="1"/>
  <c r="M339" i="7" s="1"/>
  <c r="M340" i="7" a="1"/>
  <c r="M340" i="7" s="1"/>
  <c r="M341" i="7" a="1"/>
  <c r="M341" i="7" s="1"/>
  <c r="M342" i="7" a="1"/>
  <c r="M342" i="7" s="1"/>
  <c r="M343" i="7" a="1"/>
  <c r="M343" i="7" s="1"/>
  <c r="M344" i="7" a="1"/>
  <c r="M344" i="7" s="1"/>
  <c r="M345" i="7" a="1"/>
  <c r="M345" i="7" s="1"/>
  <c r="M346" i="7" a="1"/>
  <c r="M346" i="7" s="1"/>
  <c r="M347" i="7" a="1"/>
  <c r="M347" i="7" s="1"/>
  <c r="M348" i="7" a="1"/>
  <c r="M348" i="7" s="1"/>
  <c r="M349" i="7" a="1"/>
  <c r="M349" i="7" s="1"/>
  <c r="M350" i="7" a="1"/>
  <c r="M350" i="7" s="1"/>
  <c r="M351" i="7" a="1"/>
  <c r="M351" i="7" s="1"/>
  <c r="M352" i="7" a="1"/>
  <c r="M352" i="7" s="1"/>
  <c r="M353" i="7" a="1"/>
  <c r="M353" i="7" s="1"/>
  <c r="M354" i="7" a="1"/>
  <c r="M354" i="7" s="1"/>
  <c r="M355" i="7" a="1"/>
  <c r="M355" i="7" s="1"/>
  <c r="M356" i="7" a="1"/>
  <c r="M356" i="7" s="1"/>
  <c r="M357" i="7" a="1"/>
  <c r="M357" i="7" s="1"/>
  <c r="M358" i="7" a="1"/>
  <c r="M358" i="7" s="1"/>
  <c r="M359" i="7" a="1"/>
  <c r="M359" i="7" s="1"/>
  <c r="M360" i="7" a="1"/>
  <c r="M360" i="7" s="1"/>
  <c r="M361" i="7" a="1"/>
  <c r="M361" i="7" s="1"/>
  <c r="M362" i="7" a="1"/>
  <c r="M362" i="7" s="1"/>
  <c r="M363" i="7" a="1"/>
  <c r="M363" i="7" s="1"/>
  <c r="M364" i="7" a="1"/>
  <c r="M364" i="7" s="1"/>
  <c r="M365" i="7" a="1"/>
  <c r="M365" i="7" s="1"/>
  <c r="M366" i="7" a="1"/>
  <c r="M366" i="7" s="1"/>
  <c r="M367" i="7" a="1"/>
  <c r="M367" i="7" s="1"/>
  <c r="M368" i="7" a="1"/>
  <c r="M368" i="7" s="1"/>
  <c r="M369" i="7" a="1"/>
  <c r="M369" i="7" s="1"/>
  <c r="M370" i="7" a="1"/>
  <c r="M370" i="7" s="1"/>
  <c r="M371" i="7" a="1"/>
  <c r="M371" i="7" s="1"/>
  <c r="M372" i="7" a="1"/>
  <c r="M372" i="7" s="1"/>
  <c r="M373" i="7" a="1"/>
  <c r="M373" i="7" s="1"/>
  <c r="M374" i="7" a="1"/>
  <c r="M374" i="7" s="1"/>
  <c r="M375" i="7" a="1"/>
  <c r="M375" i="7" s="1"/>
  <c r="M376" i="7" a="1"/>
  <c r="M376" i="7" s="1"/>
  <c r="M377" i="7" a="1"/>
  <c r="M377" i="7" s="1"/>
  <c r="M378" i="7" a="1"/>
  <c r="M378" i="7" s="1"/>
  <c r="M379" i="7" a="1"/>
  <c r="M379" i="7" s="1"/>
  <c r="M380" i="7" a="1"/>
  <c r="M380" i="7" s="1"/>
  <c r="M381" i="7" a="1"/>
  <c r="M381" i="7" s="1"/>
  <c r="M382" i="7" a="1"/>
  <c r="M382" i="7" s="1"/>
  <c r="M383" i="7" a="1"/>
  <c r="M383" i="7" s="1"/>
  <c r="M384" i="7" a="1"/>
  <c r="M384" i="7" s="1"/>
  <c r="M385" i="7" a="1"/>
  <c r="M385" i="7" s="1"/>
  <c r="M386" i="7" a="1"/>
  <c r="M386" i="7" s="1"/>
  <c r="M387" i="7" a="1"/>
  <c r="M387" i="7" s="1"/>
  <c r="M388" i="7" a="1"/>
  <c r="M388" i="7" s="1"/>
  <c r="M389" i="7" a="1"/>
  <c r="M389" i="7" s="1"/>
  <c r="M390" i="7" a="1"/>
  <c r="M390" i="7" s="1"/>
  <c r="M391" i="7" a="1"/>
  <c r="M391" i="7" s="1"/>
  <c r="M392" i="7" a="1"/>
  <c r="M392" i="7" s="1"/>
  <c r="M393" i="7" a="1"/>
  <c r="M393" i="7" s="1"/>
  <c r="M394" i="7" a="1"/>
  <c r="M394" i="7" s="1"/>
  <c r="M395" i="7" a="1"/>
  <c r="M395" i="7" s="1"/>
  <c r="M396" i="7" a="1"/>
  <c r="M396" i="7" s="1"/>
  <c r="M397" i="7" a="1"/>
  <c r="M397" i="7" s="1"/>
  <c r="M398" i="7" a="1"/>
  <c r="M398" i="7" s="1"/>
  <c r="M399" i="7" a="1"/>
  <c r="M399" i="7" s="1"/>
  <c r="M400" i="7" a="1"/>
  <c r="M400" i="7" s="1"/>
  <c r="M401" i="7" a="1"/>
  <c r="M401" i="7" s="1"/>
  <c r="M402" i="7" a="1"/>
  <c r="M402" i="7" s="1"/>
  <c r="M403" i="7" a="1"/>
  <c r="M403" i="7" s="1"/>
  <c r="M404" i="7" a="1"/>
  <c r="M404" i="7" s="1"/>
  <c r="M405" i="7" a="1"/>
  <c r="M405" i="7" s="1"/>
  <c r="M406" i="7" a="1"/>
  <c r="M406" i="7" s="1"/>
  <c r="M407" i="7" a="1"/>
  <c r="M407" i="7" s="1"/>
  <c r="M408" i="7" a="1"/>
  <c r="M408" i="7" s="1"/>
  <c r="M409" i="7" a="1"/>
  <c r="M409" i="7" s="1"/>
  <c r="M410" i="7" a="1"/>
  <c r="M410" i="7" s="1"/>
  <c r="M411" i="7" a="1"/>
  <c r="M411" i="7" s="1"/>
  <c r="M412" i="7" a="1"/>
  <c r="M412" i="7" s="1"/>
  <c r="M413" i="7" a="1"/>
  <c r="M413" i="7" s="1"/>
  <c r="M414" i="7" a="1"/>
  <c r="M414" i="7" s="1"/>
  <c r="M415" i="7" a="1"/>
  <c r="M415" i="7" s="1"/>
  <c r="M416" i="7" a="1"/>
  <c r="M416" i="7" s="1"/>
  <c r="M417" i="7" a="1"/>
  <c r="M417" i="7" s="1"/>
  <c r="M418" i="7" a="1"/>
  <c r="M418" i="7" s="1"/>
  <c r="M419" i="7" a="1"/>
  <c r="M419" i="7" s="1"/>
  <c r="M420" i="7" a="1"/>
  <c r="M420" i="7" s="1"/>
  <c r="M421" i="7" a="1"/>
  <c r="M421" i="7" s="1"/>
  <c r="M422" i="7" a="1"/>
  <c r="M422" i="7" s="1"/>
  <c r="M423" i="7" a="1"/>
  <c r="M423" i="7" s="1"/>
  <c r="M424" i="7" a="1"/>
  <c r="M424" i="7" s="1"/>
  <c r="M425" i="7" a="1"/>
  <c r="M425" i="7" s="1"/>
  <c r="M426" i="7" a="1"/>
  <c r="M426" i="7" s="1"/>
  <c r="M427" i="7" a="1"/>
  <c r="M427" i="7" s="1"/>
  <c r="M428" i="7" a="1"/>
  <c r="M428" i="7" s="1"/>
  <c r="M429" i="7" a="1"/>
  <c r="M429" i="7" s="1"/>
  <c r="M430" i="7" a="1"/>
  <c r="M430" i="7" s="1"/>
  <c r="M431" i="7" a="1"/>
  <c r="M431" i="7" s="1"/>
  <c r="M432" i="7" a="1"/>
  <c r="M432" i="7" s="1"/>
  <c r="M433" i="7" a="1"/>
  <c r="M433" i="7" s="1"/>
  <c r="M434" i="7" a="1"/>
  <c r="M434" i="7" s="1"/>
  <c r="M435" i="7" a="1"/>
  <c r="M435" i="7" s="1"/>
  <c r="M436" i="7" a="1"/>
  <c r="M436" i="7" s="1"/>
  <c r="M437" i="7" a="1"/>
  <c r="M437" i="7" s="1"/>
  <c r="M438" i="7" a="1"/>
  <c r="M438" i="7" s="1"/>
  <c r="M439" i="7" a="1"/>
  <c r="M439" i="7" s="1"/>
  <c r="M440" i="7" a="1"/>
  <c r="M440" i="7" s="1"/>
  <c r="M441" i="7" a="1"/>
  <c r="M441" i="7" s="1"/>
  <c r="M442" i="7" a="1"/>
  <c r="M442" i="7" s="1"/>
  <c r="M443" i="7" a="1"/>
  <c r="M443" i="7" s="1"/>
  <c r="M444" i="7" a="1"/>
  <c r="M444" i="7" s="1"/>
  <c r="M445" i="7" a="1"/>
  <c r="M445" i="7" s="1"/>
  <c r="M446" i="7" a="1"/>
  <c r="M446" i="7" s="1"/>
  <c r="M447" i="7" a="1"/>
  <c r="M447" i="7" s="1"/>
  <c r="M448" i="7" a="1"/>
  <c r="M448" i="7" s="1"/>
  <c r="M449" i="7" a="1"/>
  <c r="M449" i="7" s="1"/>
  <c r="M450" i="7" a="1"/>
  <c r="M450" i="7" s="1"/>
  <c r="M451" i="7" a="1"/>
  <c r="M451" i="7" s="1"/>
  <c r="M452" i="7" a="1"/>
  <c r="M452" i="7" s="1"/>
  <c r="M453" i="7" a="1"/>
  <c r="M453" i="7" s="1"/>
  <c r="M454" i="7" a="1"/>
  <c r="M454" i="7" s="1"/>
  <c r="M455" i="7" a="1"/>
  <c r="M455" i="7" s="1"/>
  <c r="M456" i="7" a="1"/>
  <c r="M456" i="7" s="1"/>
  <c r="M457" i="7" a="1"/>
  <c r="M457" i="7" s="1"/>
  <c r="M458" i="7" a="1"/>
  <c r="M458" i="7" s="1"/>
  <c r="M459" i="7" a="1"/>
  <c r="M459" i="7" s="1"/>
  <c r="M460" i="7" a="1"/>
  <c r="M460" i="7" s="1"/>
  <c r="M461" i="7" a="1"/>
  <c r="M461" i="7" s="1"/>
  <c r="M462" i="7" a="1"/>
  <c r="M462" i="7" s="1"/>
  <c r="M463" i="7" a="1"/>
  <c r="M463" i="7" s="1"/>
  <c r="M464" i="7" a="1"/>
  <c r="M464" i="7" s="1"/>
  <c r="M465" i="7" a="1"/>
  <c r="M465" i="7" s="1"/>
  <c r="M466" i="7" a="1"/>
  <c r="M466" i="7" s="1"/>
  <c r="M467" i="7" a="1"/>
  <c r="M467" i="7" s="1"/>
  <c r="M468" i="7" a="1"/>
  <c r="M468" i="7" s="1"/>
  <c r="M469" i="7" a="1"/>
  <c r="M469" i="7" s="1"/>
  <c r="M470" i="7" a="1"/>
  <c r="M470" i="7" s="1"/>
  <c r="M471" i="7" a="1"/>
  <c r="M471" i="7" s="1"/>
  <c r="M472" i="7" a="1"/>
  <c r="M472" i="7" s="1"/>
  <c r="M473" i="7" a="1"/>
  <c r="M473" i="7" s="1"/>
  <c r="M474" i="7" a="1"/>
  <c r="M474" i="7" s="1"/>
  <c r="M475" i="7" a="1"/>
  <c r="M475" i="7" s="1"/>
  <c r="M476" i="7" a="1"/>
  <c r="M476" i="7" s="1"/>
  <c r="M477" i="7" a="1"/>
  <c r="M477" i="7" s="1"/>
  <c r="M478" i="7" a="1"/>
  <c r="M478" i="7" s="1"/>
  <c r="M479" i="7" a="1"/>
  <c r="M479" i="7" s="1"/>
  <c r="M480" i="7" a="1"/>
  <c r="M480" i="7" s="1"/>
  <c r="M481" i="7" a="1"/>
  <c r="M481" i="7" s="1"/>
  <c r="M482" i="7" a="1"/>
  <c r="M482" i="7" s="1"/>
  <c r="M483" i="7" a="1"/>
  <c r="M483" i="7" s="1"/>
  <c r="M484" i="7" a="1"/>
  <c r="M484" i="7" s="1"/>
  <c r="M485" i="7" a="1"/>
  <c r="M485" i="7" s="1"/>
  <c r="M486" i="7" a="1"/>
  <c r="M486" i="7" s="1"/>
  <c r="M487" i="7" a="1"/>
  <c r="M487" i="7" s="1"/>
  <c r="M488" i="7" a="1"/>
  <c r="M488" i="7" s="1"/>
  <c r="M489" i="7" a="1"/>
  <c r="M489" i="7" s="1"/>
  <c r="M490" i="7" a="1"/>
  <c r="M490" i="7" s="1"/>
  <c r="M491" i="7" a="1"/>
  <c r="M491" i="7" s="1"/>
  <c r="M492" i="7" a="1"/>
  <c r="M492" i="7" s="1"/>
  <c r="M493" i="7" a="1"/>
  <c r="M493" i="7" s="1"/>
  <c r="M494" i="7" a="1"/>
  <c r="M494" i="7" s="1"/>
  <c r="M495" i="7" a="1"/>
  <c r="M495" i="7" s="1"/>
  <c r="M496" i="7" a="1"/>
  <c r="M496" i="7" s="1"/>
  <c r="M497" i="7" a="1"/>
  <c r="M497" i="7" s="1"/>
  <c r="M498" i="7" a="1"/>
  <c r="M498" i="7" s="1"/>
  <c r="M499" i="7" a="1"/>
  <c r="M499" i="7" s="1"/>
  <c r="M500" i="7" a="1"/>
  <c r="M500" i="7" s="1"/>
  <c r="M501" i="7" a="1"/>
  <c r="M501" i="7" s="1"/>
  <c r="M502" i="7" a="1"/>
  <c r="M502" i="7" s="1"/>
  <c r="M503" i="7" a="1"/>
  <c r="M503" i="7" s="1"/>
  <c r="M504" i="7" a="1"/>
  <c r="M504" i="7" s="1"/>
  <c r="M505" i="7" a="1"/>
  <c r="M505" i="7" s="1"/>
  <c r="M506" i="7" a="1"/>
  <c r="M506" i="7" s="1"/>
  <c r="M507" i="7" a="1"/>
  <c r="M507" i="7" s="1"/>
  <c r="M508" i="7" a="1"/>
  <c r="M508" i="7" s="1"/>
  <c r="M509" i="7" a="1"/>
  <c r="M509" i="7" s="1"/>
  <c r="M510" i="7" a="1"/>
  <c r="M510" i="7" s="1"/>
  <c r="M511" i="7" a="1"/>
  <c r="M511" i="7" s="1"/>
  <c r="M512" i="7" a="1"/>
  <c r="M512" i="7" s="1"/>
  <c r="M513" i="7" a="1"/>
  <c r="M513" i="7" s="1"/>
  <c r="M514" i="7" a="1"/>
  <c r="M514" i="7" s="1"/>
  <c r="M515" i="7" a="1"/>
  <c r="M515" i="7" s="1"/>
  <c r="M516" i="7" a="1"/>
  <c r="M516" i="7" s="1"/>
  <c r="M517" i="7" a="1"/>
  <c r="M517" i="7" s="1"/>
  <c r="M518" i="7" a="1"/>
  <c r="M518" i="7" s="1"/>
  <c r="M519" i="7" a="1"/>
  <c r="M519" i="7" s="1"/>
  <c r="M520" i="7" a="1"/>
  <c r="M520" i="7" s="1"/>
  <c r="M521" i="7" a="1"/>
  <c r="M521" i="7" s="1"/>
  <c r="M522" i="7" a="1"/>
  <c r="M522" i="7" s="1"/>
  <c r="M523" i="7" a="1"/>
  <c r="M523" i="7" s="1"/>
  <c r="M524" i="7" a="1"/>
  <c r="M524" i="7" s="1"/>
  <c r="M525" i="7" a="1"/>
  <c r="M525" i="7" s="1"/>
  <c r="M526" i="7" a="1"/>
  <c r="M526" i="7" s="1"/>
  <c r="M527" i="7" a="1"/>
  <c r="M527" i="7" s="1"/>
  <c r="M528" i="7" a="1"/>
  <c r="M528" i="7" s="1"/>
  <c r="M529" i="7" a="1"/>
  <c r="M529" i="7" s="1"/>
  <c r="M530" i="7" a="1"/>
  <c r="M530" i="7" s="1"/>
  <c r="M531" i="7" a="1"/>
  <c r="M531" i="7" s="1"/>
  <c r="M532" i="7" a="1"/>
  <c r="M532" i="7" s="1"/>
  <c r="M533" i="7" a="1"/>
  <c r="M533" i="7" s="1"/>
  <c r="M534" i="7" a="1"/>
  <c r="M534" i="7" s="1"/>
  <c r="M535" i="7" a="1"/>
  <c r="M535" i="7" s="1"/>
  <c r="M536" i="7" a="1"/>
  <c r="M536" i="7" s="1"/>
  <c r="M537" i="7" a="1"/>
  <c r="M537" i="7" s="1"/>
  <c r="M538" i="7" a="1"/>
  <c r="M538" i="7" s="1"/>
  <c r="M539" i="7" a="1"/>
  <c r="M539" i="7" s="1"/>
  <c r="M540" i="7" a="1"/>
  <c r="M540" i="7" s="1"/>
  <c r="M541" i="7" a="1"/>
  <c r="M541" i="7" s="1"/>
  <c r="M542" i="7" a="1"/>
  <c r="M542" i="7" s="1"/>
  <c r="M543" i="7" a="1"/>
  <c r="M543" i="7" s="1"/>
  <c r="M544" i="7" a="1"/>
  <c r="M544" i="7" s="1"/>
  <c r="M545" i="7" a="1"/>
  <c r="M545" i="7" s="1"/>
  <c r="M546" i="7" a="1"/>
  <c r="M546" i="7" s="1"/>
  <c r="M547" i="7" a="1"/>
  <c r="M547" i="7" s="1"/>
  <c r="M548" i="7" a="1"/>
  <c r="M548" i="7" s="1"/>
  <c r="M549" i="7" a="1"/>
  <c r="M549" i="7" s="1"/>
  <c r="M550" i="7" a="1"/>
  <c r="M550" i="7" s="1"/>
  <c r="M551" i="7" a="1"/>
  <c r="M551" i="7" s="1"/>
  <c r="M552" i="7" a="1"/>
  <c r="M552" i="7" s="1"/>
  <c r="M553" i="7" a="1"/>
  <c r="M553" i="7" s="1"/>
  <c r="M554" i="7" a="1"/>
  <c r="M554" i="7" s="1"/>
  <c r="M555" i="7" a="1"/>
  <c r="M555" i="7" s="1"/>
  <c r="M556" i="7" a="1"/>
  <c r="M556" i="7" s="1"/>
  <c r="M557" i="7" a="1"/>
  <c r="M557" i="7" s="1"/>
  <c r="M558" i="7" a="1"/>
  <c r="M558" i="7" s="1"/>
  <c r="M559" i="7" a="1"/>
  <c r="M559" i="7" s="1"/>
  <c r="M560" i="7" a="1"/>
  <c r="M560" i="7" s="1"/>
  <c r="M561" i="7" a="1"/>
  <c r="M561" i="7" s="1"/>
  <c r="M562" i="7" a="1"/>
  <c r="M562" i="7" s="1"/>
  <c r="M563" i="7" a="1"/>
  <c r="M563" i="7" s="1"/>
  <c r="M564" i="7" a="1"/>
  <c r="M564" i="7" s="1"/>
  <c r="M565" i="7" a="1"/>
  <c r="M565" i="7" s="1"/>
  <c r="M566" i="7" a="1"/>
  <c r="M566" i="7" s="1"/>
  <c r="M567" i="7" a="1"/>
  <c r="M567" i="7" s="1"/>
  <c r="M568" i="7" a="1"/>
  <c r="M568" i="7" s="1"/>
  <c r="M569" i="7" a="1"/>
  <c r="M569" i="7" s="1"/>
  <c r="M570" i="7" a="1"/>
  <c r="M570" i="7" s="1"/>
  <c r="M571" i="7" a="1"/>
  <c r="M571" i="7" s="1"/>
  <c r="M572" i="7" a="1"/>
  <c r="M572" i="7" s="1"/>
  <c r="M573" i="7" a="1"/>
  <c r="M573" i="7" s="1"/>
  <c r="M574" i="7" a="1"/>
  <c r="M574" i="7" s="1"/>
  <c r="M575" i="7" a="1"/>
  <c r="M575" i="7" s="1"/>
  <c r="M576" i="7" a="1"/>
  <c r="M576" i="7" s="1"/>
  <c r="M577" i="7" a="1"/>
  <c r="M577" i="7" s="1"/>
  <c r="M578" i="7" a="1"/>
  <c r="M578" i="7" s="1"/>
  <c r="M579" i="7" a="1"/>
  <c r="M579" i="7" s="1"/>
  <c r="M580" i="7" a="1"/>
  <c r="M580" i="7" s="1"/>
  <c r="M581" i="7" a="1"/>
  <c r="M581" i="7" s="1"/>
  <c r="M582" i="7" a="1"/>
  <c r="M582" i="7" s="1"/>
  <c r="M583" i="7" a="1"/>
  <c r="M583" i="7" s="1"/>
  <c r="M584" i="7" a="1"/>
  <c r="M584" i="7" s="1"/>
  <c r="M585" i="7" a="1"/>
  <c r="M585" i="7" s="1"/>
  <c r="M586" i="7" a="1"/>
  <c r="M586" i="7" s="1"/>
  <c r="M587" i="7" a="1"/>
  <c r="M587" i="7" s="1"/>
  <c r="M588" i="7" a="1"/>
  <c r="M588" i="7" s="1"/>
  <c r="M589" i="7" a="1"/>
  <c r="M589" i="7" s="1"/>
  <c r="M590" i="7" a="1"/>
  <c r="M590" i="7" s="1"/>
  <c r="M591" i="7" a="1"/>
  <c r="M591" i="7" s="1"/>
  <c r="M592" i="7" a="1"/>
  <c r="M592" i="7" s="1"/>
  <c r="M593" i="7" a="1"/>
  <c r="M593" i="7" s="1"/>
  <c r="M594" i="7" a="1"/>
  <c r="M594" i="7" s="1"/>
  <c r="M595" i="7" a="1"/>
  <c r="M595" i="7" s="1"/>
  <c r="M596" i="7" a="1"/>
  <c r="M596" i="7" s="1"/>
  <c r="M597" i="7" a="1"/>
  <c r="M597" i="7" s="1"/>
  <c r="M598" i="7" a="1"/>
  <c r="M598" i="7" s="1"/>
  <c r="M599" i="7" a="1"/>
  <c r="M599" i="7" s="1"/>
  <c r="M600" i="7" a="1"/>
  <c r="M600" i="7" s="1"/>
  <c r="M601" i="7" a="1"/>
  <c r="M601" i="7" s="1"/>
  <c r="M602" i="7" a="1"/>
  <c r="M602" i="7" s="1"/>
  <c r="M603" i="7" a="1"/>
  <c r="M603" i="7" s="1"/>
  <c r="M604" i="7" a="1"/>
  <c r="M604" i="7" s="1"/>
  <c r="M605" i="7" a="1"/>
  <c r="M605" i="7" s="1"/>
  <c r="M606" i="7" a="1"/>
  <c r="M606" i="7" s="1"/>
  <c r="M607" i="7" a="1"/>
  <c r="M607" i="7" s="1"/>
  <c r="M608" i="7" a="1"/>
  <c r="M608" i="7" s="1"/>
  <c r="M609" i="7" a="1"/>
  <c r="M609" i="7" s="1"/>
  <c r="M610" i="7" a="1"/>
  <c r="M610" i="7" s="1"/>
  <c r="M611" i="7" a="1"/>
  <c r="M611" i="7" s="1"/>
  <c r="M612" i="7" a="1"/>
  <c r="M612" i="7" s="1"/>
  <c r="M613" i="7" a="1"/>
  <c r="M613" i="7" s="1"/>
  <c r="M614" i="7" a="1"/>
  <c r="M614" i="7" s="1"/>
  <c r="M615" i="7" a="1"/>
  <c r="M615" i="7" s="1"/>
  <c r="M616" i="7" a="1"/>
  <c r="M616" i="7" s="1"/>
  <c r="M617" i="7" a="1"/>
  <c r="M617" i="7" s="1"/>
  <c r="M618" i="7" a="1"/>
  <c r="M618" i="7" s="1"/>
  <c r="M619" i="7" a="1"/>
  <c r="M619" i="7" s="1"/>
  <c r="M620" i="7" a="1"/>
  <c r="M620" i="7" s="1"/>
  <c r="M621" i="7" a="1"/>
  <c r="M621" i="7" s="1"/>
  <c r="M622" i="7" a="1"/>
  <c r="M622" i="7" s="1"/>
  <c r="M623" i="7" a="1"/>
  <c r="M623" i="7" s="1"/>
  <c r="M624" i="7" a="1"/>
  <c r="M624" i="7" s="1"/>
  <c r="M625" i="7" a="1"/>
  <c r="M625" i="7" s="1"/>
  <c r="M626" i="7" a="1"/>
  <c r="M626" i="7" s="1"/>
  <c r="M627" i="7" a="1"/>
  <c r="M627" i="7" s="1"/>
  <c r="M628" i="7" a="1"/>
  <c r="M628" i="7" s="1"/>
  <c r="M629" i="7" a="1"/>
  <c r="M629" i="7" s="1"/>
  <c r="M630" i="7" a="1"/>
  <c r="M630" i="7" s="1"/>
  <c r="M631" i="7" a="1"/>
  <c r="M631" i="7" s="1"/>
  <c r="M632" i="7" a="1"/>
  <c r="M632" i="7" s="1"/>
  <c r="M633" i="7" a="1"/>
  <c r="M633" i="7" s="1"/>
  <c r="M634" i="7" a="1"/>
  <c r="M634" i="7" s="1"/>
  <c r="M635" i="7" a="1"/>
  <c r="M635" i="7" s="1"/>
  <c r="M636" i="7" a="1"/>
  <c r="M636" i="7" s="1"/>
  <c r="M637" i="7" a="1"/>
  <c r="M637" i="7" s="1"/>
  <c r="M638" i="7" a="1"/>
  <c r="M638" i="7" s="1"/>
  <c r="M639" i="7" a="1"/>
  <c r="M639" i="7" s="1"/>
  <c r="M640" i="7" a="1"/>
  <c r="M640" i="7" s="1"/>
  <c r="M641" i="7" a="1"/>
  <c r="M641" i="7" s="1"/>
  <c r="M642" i="7" a="1"/>
  <c r="M642" i="7" s="1"/>
  <c r="M643" i="7" a="1"/>
  <c r="M643" i="7" s="1"/>
  <c r="M644" i="7" a="1"/>
  <c r="M644" i="7" s="1"/>
  <c r="M645" i="7" a="1"/>
  <c r="M645" i="7" s="1"/>
  <c r="M646" i="7" a="1"/>
  <c r="M646" i="7" s="1"/>
  <c r="M647" i="7" a="1"/>
  <c r="M647" i="7" s="1"/>
  <c r="M648" i="7" a="1"/>
  <c r="M648" i="7" s="1"/>
  <c r="M649" i="7" a="1"/>
  <c r="M649" i="7" s="1"/>
  <c r="M650" i="7" a="1"/>
  <c r="M650" i="7" s="1"/>
  <c r="M651" i="7" a="1"/>
  <c r="M651" i="7" s="1"/>
  <c r="M652" i="7" a="1"/>
  <c r="M652" i="7" s="1"/>
  <c r="M653" i="7" a="1"/>
  <c r="M653" i="7" s="1"/>
  <c r="M654" i="7" a="1"/>
  <c r="M654" i="7" s="1"/>
  <c r="M655" i="7" a="1"/>
  <c r="M655" i="7" s="1"/>
  <c r="M656" i="7" a="1"/>
  <c r="M656" i="7" s="1"/>
  <c r="M657" i="7" a="1"/>
  <c r="M657" i="7" s="1"/>
  <c r="M658" i="7" a="1"/>
  <c r="M658" i="7" s="1"/>
  <c r="M659" i="7" a="1"/>
  <c r="M659" i="7" s="1"/>
  <c r="M660" i="7" a="1"/>
  <c r="M660" i="7" s="1"/>
  <c r="M661" i="7" a="1"/>
  <c r="M661" i="7" s="1"/>
  <c r="M662" i="7" a="1"/>
  <c r="M662" i="7" s="1"/>
  <c r="M663" i="7" a="1"/>
  <c r="M663" i="7" s="1"/>
  <c r="M664" i="7" a="1"/>
  <c r="M664" i="7" s="1"/>
  <c r="M665" i="7" a="1"/>
  <c r="M665" i="7" s="1"/>
  <c r="M666" i="7" a="1"/>
  <c r="M666" i="7" s="1"/>
  <c r="M667" i="7" a="1"/>
  <c r="M667" i="7" s="1"/>
  <c r="M668" i="7" a="1"/>
  <c r="M668" i="7" s="1"/>
  <c r="M669" i="7" a="1"/>
  <c r="M669" i="7" s="1"/>
  <c r="M670" i="7" a="1"/>
  <c r="M670" i="7" s="1"/>
  <c r="M671" i="7" a="1"/>
  <c r="M671" i="7" s="1"/>
  <c r="M672" i="7" a="1"/>
  <c r="M672" i="7" s="1"/>
  <c r="M673" i="7" a="1"/>
  <c r="M673" i="7" s="1"/>
  <c r="M674" i="7" a="1"/>
  <c r="M674" i="7" s="1"/>
  <c r="M675" i="7" a="1"/>
  <c r="M675" i="7" s="1"/>
  <c r="M676" i="7" a="1"/>
  <c r="M676" i="7" s="1"/>
  <c r="M677" i="7" a="1"/>
  <c r="M677" i="7" s="1"/>
  <c r="M678" i="7" a="1"/>
  <c r="M678" i="7" s="1"/>
  <c r="M679" i="7" a="1"/>
  <c r="M679" i="7" s="1"/>
  <c r="M680" i="7" a="1"/>
  <c r="M680" i="7" s="1"/>
  <c r="M681" i="7" a="1"/>
  <c r="M681" i="7" s="1"/>
  <c r="M682" i="7" a="1"/>
  <c r="M682" i="7" s="1"/>
  <c r="M683" i="7" a="1"/>
  <c r="M683" i="7" s="1"/>
  <c r="M684" i="7" a="1"/>
  <c r="M684" i="7" s="1"/>
  <c r="M685" i="7" a="1"/>
  <c r="M685" i="7" s="1"/>
  <c r="M686" i="7" a="1"/>
  <c r="M686" i="7" s="1"/>
  <c r="M687" i="7" a="1"/>
  <c r="M687" i="7" s="1"/>
  <c r="M688" i="7" a="1"/>
  <c r="M688" i="7" s="1"/>
  <c r="M689" i="7" a="1"/>
  <c r="M689" i="7" s="1"/>
  <c r="M690" i="7" a="1"/>
  <c r="M690" i="7" s="1"/>
  <c r="M691" i="7" a="1"/>
  <c r="M691" i="7" s="1"/>
  <c r="M692" i="7" a="1"/>
  <c r="M692" i="7" s="1"/>
  <c r="M693" i="7" a="1"/>
  <c r="M693" i="7" s="1"/>
  <c r="M694" i="7" a="1"/>
  <c r="M694" i="7" s="1"/>
  <c r="M695" i="7" a="1"/>
  <c r="M695" i="7" s="1"/>
  <c r="M696" i="7" a="1"/>
  <c r="M696" i="7" s="1"/>
  <c r="M697" i="7" a="1"/>
  <c r="M697" i="7" s="1"/>
  <c r="M698" i="7" a="1"/>
  <c r="M698" i="7" s="1"/>
  <c r="M699" i="7" a="1"/>
  <c r="M699" i="7" s="1"/>
  <c r="M700" i="7" a="1"/>
  <c r="M700" i="7" s="1"/>
  <c r="M701" i="7" a="1"/>
  <c r="M701" i="7" s="1"/>
  <c r="M702" i="7" a="1"/>
  <c r="M702" i="7" s="1"/>
  <c r="M703" i="7" a="1"/>
  <c r="M703" i="7" s="1"/>
  <c r="M704" i="7" a="1"/>
  <c r="M704" i="7" s="1"/>
  <c r="M705" i="7" a="1"/>
  <c r="M705" i="7" s="1"/>
  <c r="M706" i="7" a="1"/>
  <c r="M706" i="7" s="1"/>
  <c r="M707" i="7" a="1"/>
  <c r="M707" i="7" s="1"/>
  <c r="M708" i="7" a="1"/>
  <c r="M708" i="7" s="1"/>
  <c r="M709" i="7" a="1"/>
  <c r="M709" i="7" s="1"/>
  <c r="M710" i="7" a="1"/>
  <c r="M710" i="7" s="1"/>
  <c r="M711" i="7" a="1"/>
  <c r="M711" i="7" s="1"/>
  <c r="M712" i="7" a="1"/>
  <c r="M712" i="7" s="1"/>
  <c r="M713" i="7" a="1"/>
  <c r="M713" i="7" s="1"/>
  <c r="M714" i="7" a="1"/>
  <c r="M714" i="7" s="1"/>
  <c r="M715" i="7" a="1"/>
  <c r="M715" i="7" s="1"/>
  <c r="M716" i="7" a="1"/>
  <c r="M716" i="7" s="1"/>
  <c r="M717" i="7" a="1"/>
  <c r="M717" i="7" s="1"/>
  <c r="M718" i="7" a="1"/>
  <c r="M718" i="7" s="1"/>
  <c r="M719" i="7" a="1"/>
  <c r="M719" i="7" s="1"/>
  <c r="M720" i="7" a="1"/>
  <c r="M720" i="7" s="1"/>
  <c r="M721" i="7" a="1"/>
  <c r="M721" i="7" s="1"/>
  <c r="M722" i="7" a="1"/>
  <c r="M722" i="7" s="1"/>
  <c r="M723" i="7" a="1"/>
  <c r="M723" i="7" s="1"/>
  <c r="M724" i="7" a="1"/>
  <c r="M724" i="7" s="1"/>
  <c r="M725" i="7" a="1"/>
  <c r="M725" i="7" s="1"/>
  <c r="M726" i="7" a="1"/>
  <c r="M726" i="7" s="1"/>
  <c r="M727" i="7" a="1"/>
  <c r="M727" i="7" s="1"/>
  <c r="M728" i="7" a="1"/>
  <c r="M728" i="7" s="1"/>
  <c r="M729" i="7" a="1"/>
  <c r="M729" i="7" s="1"/>
  <c r="M730" i="7" a="1"/>
  <c r="M730" i="7" s="1"/>
  <c r="M731" i="7" a="1"/>
  <c r="M731" i="7" s="1"/>
  <c r="M732" i="7" a="1"/>
  <c r="M732" i="7" s="1"/>
  <c r="M733" i="7" a="1"/>
  <c r="M733" i="7" s="1"/>
  <c r="M734" i="7" a="1"/>
  <c r="M734" i="7" s="1"/>
  <c r="M735" i="7" a="1"/>
  <c r="M735" i="7" s="1"/>
  <c r="M736" i="7" a="1"/>
  <c r="M736" i="7" s="1"/>
  <c r="M737" i="7" a="1"/>
  <c r="M737" i="7" s="1"/>
  <c r="M738" i="7" a="1"/>
  <c r="M738" i="7" s="1"/>
  <c r="M739" i="7" a="1"/>
  <c r="M739" i="7" s="1"/>
  <c r="M740" i="7" a="1"/>
  <c r="M740" i="7" s="1"/>
  <c r="M741" i="7" a="1"/>
  <c r="M741" i="7" s="1"/>
  <c r="M742" i="7" a="1"/>
  <c r="M742" i="7" s="1"/>
  <c r="M743" i="7" a="1"/>
  <c r="M743" i="7" s="1"/>
  <c r="M744" i="7" a="1"/>
  <c r="M744" i="7" s="1"/>
  <c r="M745" i="7" a="1"/>
  <c r="M745" i="7" s="1"/>
  <c r="M746" i="7" a="1"/>
  <c r="M746" i="7" s="1"/>
  <c r="M747" i="7" a="1"/>
  <c r="M747" i="7" s="1"/>
  <c r="M748" i="7" a="1"/>
  <c r="M748" i="7" s="1"/>
  <c r="M749" i="7" a="1"/>
  <c r="M749" i="7" s="1"/>
  <c r="M750" i="7" a="1"/>
  <c r="M750" i="7" s="1"/>
  <c r="M751" i="7" a="1"/>
  <c r="M751" i="7" s="1"/>
  <c r="M752" i="7" a="1"/>
  <c r="M752" i="7" s="1"/>
  <c r="M753" i="7" a="1"/>
  <c r="M753" i="7" s="1"/>
  <c r="M754" i="7" a="1"/>
  <c r="M754" i="7" s="1"/>
  <c r="M755" i="7" a="1"/>
  <c r="M755" i="7" s="1"/>
  <c r="M756" i="7" a="1"/>
  <c r="M756" i="7" s="1"/>
  <c r="M757" i="7" a="1"/>
  <c r="M757" i="7" s="1"/>
  <c r="M758" i="7" a="1"/>
  <c r="M758" i="7" s="1"/>
  <c r="M759" i="7" a="1"/>
  <c r="M759" i="7" s="1"/>
  <c r="M760" i="7" a="1"/>
  <c r="M760" i="7" s="1"/>
  <c r="M761" i="7" a="1"/>
  <c r="M761" i="7" s="1"/>
  <c r="M762" i="7" a="1"/>
  <c r="M762" i="7" s="1"/>
  <c r="M763" i="7" a="1"/>
  <c r="M763" i="7" s="1"/>
  <c r="M764" i="7" a="1"/>
  <c r="M764" i="7" s="1"/>
  <c r="M765" i="7" a="1"/>
  <c r="M765" i="7" s="1"/>
  <c r="M766" i="7" a="1"/>
  <c r="M766" i="7" s="1"/>
  <c r="M767" i="7" a="1"/>
  <c r="M767" i="7" s="1"/>
  <c r="M768" i="7" a="1"/>
  <c r="M768" i="7" s="1"/>
  <c r="M769" i="7" a="1"/>
  <c r="M769" i="7" s="1"/>
  <c r="M770" i="7" a="1"/>
  <c r="M770" i="7" s="1"/>
  <c r="M771" i="7" a="1"/>
  <c r="M771" i="7" s="1"/>
  <c r="M772" i="7" a="1"/>
  <c r="M772" i="7" s="1"/>
  <c r="M773" i="7" a="1"/>
  <c r="M773" i="7" s="1"/>
  <c r="M774" i="7" a="1"/>
  <c r="M774" i="7" s="1"/>
  <c r="M775" i="7" a="1"/>
  <c r="M775" i="7" s="1"/>
  <c r="M776" i="7" a="1"/>
  <c r="M776" i="7" s="1"/>
  <c r="M777" i="7" a="1"/>
  <c r="M777" i="7" s="1"/>
  <c r="M778" i="7" a="1"/>
  <c r="M778" i="7" s="1"/>
  <c r="M779" i="7" a="1"/>
  <c r="M779" i="7" s="1"/>
  <c r="M780" i="7" a="1"/>
  <c r="M780" i="7" s="1"/>
  <c r="M781" i="7" a="1"/>
  <c r="M781" i="7" s="1"/>
  <c r="M782" i="7" a="1"/>
  <c r="M782" i="7" s="1"/>
  <c r="M783" i="7" a="1"/>
  <c r="M783" i="7" s="1"/>
  <c r="M784" i="7" a="1"/>
  <c r="M784" i="7" s="1"/>
  <c r="M785" i="7" a="1"/>
  <c r="M785" i="7" s="1"/>
  <c r="M786" i="7" a="1"/>
  <c r="M786" i="7" s="1"/>
  <c r="M787" i="7" a="1"/>
  <c r="M787" i="7" s="1"/>
  <c r="M788" i="7" a="1"/>
  <c r="M788" i="7" s="1"/>
  <c r="M789" i="7" a="1"/>
  <c r="M789" i="7" s="1"/>
  <c r="M790" i="7" a="1"/>
  <c r="M790" i="7" s="1"/>
  <c r="M791" i="7" a="1"/>
  <c r="M791" i="7" s="1"/>
  <c r="M792" i="7" a="1"/>
  <c r="M792" i="7" s="1"/>
  <c r="M793" i="7" a="1"/>
  <c r="M793" i="7" s="1"/>
  <c r="M794" i="7" a="1"/>
  <c r="M794" i="7" s="1"/>
  <c r="M795" i="7" a="1"/>
  <c r="M795" i="7" s="1"/>
  <c r="M796" i="7" a="1"/>
  <c r="M796" i="7" s="1"/>
  <c r="M797" i="7" a="1"/>
  <c r="M797" i="7" s="1"/>
  <c r="M798" i="7" a="1"/>
  <c r="M798" i="7" s="1"/>
  <c r="M799" i="7" a="1"/>
  <c r="M799" i="7" s="1"/>
  <c r="M800" i="7" a="1"/>
  <c r="M800" i="7" s="1"/>
  <c r="M801" i="7" a="1"/>
  <c r="M801" i="7" s="1"/>
  <c r="M802" i="7" a="1"/>
  <c r="M802" i="7" s="1"/>
  <c r="M803" i="7" a="1"/>
  <c r="M803" i="7" s="1"/>
  <c r="M804" i="7" a="1"/>
  <c r="M804" i="7" s="1"/>
  <c r="M805" i="7" a="1"/>
  <c r="M805" i="7" s="1"/>
  <c r="M806" i="7" a="1"/>
  <c r="M806" i="7" s="1"/>
  <c r="M807" i="7" a="1"/>
  <c r="M807" i="7" s="1"/>
  <c r="M808" i="7" a="1"/>
  <c r="M808" i="7" s="1"/>
  <c r="M809" i="7" a="1"/>
  <c r="M809" i="7" s="1"/>
  <c r="M810" i="7" a="1"/>
  <c r="M810" i="7" s="1"/>
  <c r="M811" i="7" a="1"/>
  <c r="M811" i="7" s="1"/>
  <c r="M812" i="7" a="1"/>
  <c r="M812" i="7" s="1"/>
  <c r="M813" i="7" a="1"/>
  <c r="M813" i="7" s="1"/>
  <c r="M814" i="7" a="1"/>
  <c r="M814" i="7" s="1"/>
  <c r="M815" i="7" a="1"/>
  <c r="M815" i="7" s="1"/>
  <c r="M816" i="7" a="1"/>
  <c r="M816" i="7" s="1"/>
  <c r="M817" i="7" a="1"/>
  <c r="M817" i="7" s="1"/>
  <c r="M818" i="7" a="1"/>
  <c r="M818" i="7" s="1"/>
  <c r="M819" i="7" a="1"/>
  <c r="M819" i="7" s="1"/>
  <c r="M820" i="7" a="1"/>
  <c r="M820" i="7" s="1"/>
  <c r="M821" i="7" a="1"/>
  <c r="M821" i="7" s="1"/>
  <c r="M822" i="7" a="1"/>
  <c r="M822" i="7" s="1"/>
  <c r="M823" i="7" a="1"/>
  <c r="M823" i="7" s="1"/>
  <c r="M824" i="7" a="1"/>
  <c r="M824" i="7" s="1"/>
  <c r="M825" i="7" a="1"/>
  <c r="M825" i="7" s="1"/>
  <c r="M826" i="7" a="1"/>
  <c r="M826" i="7" s="1"/>
  <c r="M827" i="7" a="1"/>
  <c r="M827" i="7" s="1"/>
  <c r="M828" i="7" a="1"/>
  <c r="M828" i="7" s="1"/>
  <c r="M829" i="7" a="1"/>
  <c r="M829" i="7" s="1"/>
  <c r="M830" i="7" a="1"/>
  <c r="M830" i="7" s="1"/>
  <c r="M831" i="7" a="1"/>
  <c r="M831" i="7" s="1"/>
  <c r="M832" i="7" a="1"/>
  <c r="M832" i="7" s="1"/>
  <c r="M833" i="7" a="1"/>
  <c r="M833" i="7" s="1"/>
  <c r="M834" i="7" a="1"/>
  <c r="M834" i="7" s="1"/>
  <c r="M835" i="7" a="1"/>
  <c r="M835" i="7" s="1"/>
  <c r="M836" i="7" a="1"/>
  <c r="M836" i="7" s="1"/>
  <c r="M837" i="7" a="1"/>
  <c r="M837" i="7" s="1"/>
  <c r="M838" i="7" a="1"/>
  <c r="M838" i="7" s="1"/>
  <c r="M839" i="7" a="1"/>
  <c r="M839" i="7" s="1"/>
  <c r="M840" i="7" a="1"/>
  <c r="M840" i="7" s="1"/>
  <c r="M841" i="7" a="1"/>
  <c r="M841" i="7" s="1"/>
  <c r="M842" i="7" a="1"/>
  <c r="M842" i="7" s="1"/>
  <c r="M843" i="7" a="1"/>
  <c r="M843" i="7" s="1"/>
  <c r="M844" i="7" a="1"/>
  <c r="M844" i="7" s="1"/>
  <c r="M845" i="7" a="1"/>
  <c r="M845" i="7" s="1"/>
  <c r="M846" i="7" a="1"/>
  <c r="M846" i="7" s="1"/>
  <c r="M847" i="7" a="1"/>
  <c r="M847" i="7" s="1"/>
  <c r="M848" i="7" a="1"/>
  <c r="M848" i="7" s="1"/>
  <c r="M849" i="7" a="1"/>
  <c r="M849" i="7" s="1"/>
  <c r="M850" i="7" a="1"/>
  <c r="M850" i="7" s="1"/>
  <c r="M851" i="7" a="1"/>
  <c r="M851" i="7" s="1"/>
  <c r="M852" i="7" a="1"/>
  <c r="M852" i="7" s="1"/>
  <c r="M853" i="7" a="1"/>
  <c r="M853" i="7" s="1"/>
  <c r="M854" i="7" a="1"/>
  <c r="M854" i="7" s="1"/>
  <c r="M855" i="7" a="1"/>
  <c r="M855" i="7" s="1"/>
  <c r="M856" i="7" a="1"/>
  <c r="M856" i="7" s="1"/>
  <c r="M857" i="7" a="1"/>
  <c r="M857" i="7" s="1"/>
  <c r="M858" i="7" a="1"/>
  <c r="M858" i="7" s="1"/>
  <c r="M859" i="7" a="1"/>
  <c r="M859" i="7" s="1"/>
  <c r="M860" i="7" a="1"/>
  <c r="M860" i="7" s="1"/>
  <c r="M861" i="7" a="1"/>
  <c r="M861" i="7" s="1"/>
  <c r="M862" i="7" a="1"/>
  <c r="M862" i="7" s="1"/>
  <c r="M863" i="7" a="1"/>
  <c r="M863" i="7" s="1"/>
  <c r="M864" i="7" a="1"/>
  <c r="M864" i="7" s="1"/>
  <c r="M865" i="7" a="1"/>
  <c r="M865" i="7" s="1"/>
  <c r="M866" i="7" a="1"/>
  <c r="M866" i="7" s="1"/>
  <c r="M867" i="7" a="1"/>
  <c r="M867" i="7" s="1"/>
  <c r="M868" i="7" a="1"/>
  <c r="M868" i="7" s="1"/>
  <c r="M869" i="7" a="1"/>
  <c r="M869" i="7" s="1"/>
  <c r="M870" i="7" a="1"/>
  <c r="M870" i="7" s="1"/>
  <c r="M871" i="7" a="1"/>
  <c r="M871" i="7" s="1"/>
  <c r="M872" i="7" a="1"/>
  <c r="M872" i="7" s="1"/>
  <c r="M873" i="7" a="1"/>
  <c r="M873" i="7" s="1"/>
  <c r="M874" i="7" a="1"/>
  <c r="M874" i="7" s="1"/>
  <c r="M875" i="7" a="1"/>
  <c r="M875" i="7" s="1"/>
  <c r="M876" i="7" a="1"/>
  <c r="M876" i="7" s="1"/>
  <c r="M877" i="7" a="1"/>
  <c r="M877" i="7" s="1"/>
  <c r="M878" i="7" a="1"/>
  <c r="M878" i="7" s="1"/>
  <c r="M879" i="7" a="1"/>
  <c r="M879" i="7" s="1"/>
  <c r="M880" i="7" a="1"/>
  <c r="M880" i="7" s="1"/>
  <c r="M881" i="7" a="1"/>
  <c r="M881" i="7" s="1"/>
  <c r="M882" i="7" a="1"/>
  <c r="M882" i="7" s="1"/>
  <c r="M883" i="7" a="1"/>
  <c r="M883" i="7" s="1"/>
  <c r="M884" i="7" a="1"/>
  <c r="M884" i="7" s="1"/>
  <c r="M885" i="7" a="1"/>
  <c r="M885" i="7" s="1"/>
  <c r="M886" i="7" a="1"/>
  <c r="M886" i="7" s="1"/>
  <c r="M887" i="7" a="1"/>
  <c r="M887" i="7" s="1"/>
  <c r="M888" i="7" a="1"/>
  <c r="M888" i="7" s="1"/>
  <c r="M889" i="7" a="1"/>
  <c r="M889" i="7" s="1"/>
  <c r="M890" i="7" a="1"/>
  <c r="M890" i="7" s="1"/>
  <c r="M891" i="7" a="1"/>
  <c r="M891" i="7" s="1"/>
  <c r="M892" i="7" a="1"/>
  <c r="M892" i="7" s="1"/>
  <c r="M893" i="7" a="1"/>
  <c r="M893" i="7" s="1"/>
  <c r="M894" i="7" a="1"/>
  <c r="M894" i="7" s="1"/>
  <c r="M895" i="7" a="1"/>
  <c r="M895" i="7" s="1"/>
  <c r="M896" i="7" a="1"/>
  <c r="M896" i="7" s="1"/>
  <c r="M897" i="7" a="1"/>
  <c r="M897" i="7" s="1"/>
  <c r="M898" i="7" a="1"/>
  <c r="M898" i="7" s="1"/>
  <c r="M899" i="7" a="1"/>
  <c r="M899" i="7" s="1"/>
  <c r="M900" i="7" a="1"/>
  <c r="M900" i="7" s="1"/>
  <c r="M901" i="7" a="1"/>
  <c r="M901" i="7" s="1"/>
  <c r="M902" i="7" a="1"/>
  <c r="M902" i="7" s="1"/>
  <c r="M903" i="7" a="1"/>
  <c r="M903" i="7" s="1"/>
  <c r="M904" i="7" a="1"/>
  <c r="M904" i="7" s="1"/>
  <c r="M905" i="7" a="1"/>
  <c r="M905" i="7" s="1"/>
  <c r="M906" i="7" a="1"/>
  <c r="M906" i="7" s="1"/>
  <c r="M907" i="7" a="1"/>
  <c r="M907" i="7" s="1"/>
  <c r="M908" i="7" a="1"/>
  <c r="M908" i="7" s="1"/>
  <c r="M909" i="7" a="1"/>
  <c r="M909" i="7" s="1"/>
  <c r="M910" i="7" a="1"/>
  <c r="M910" i="7" s="1"/>
  <c r="M911" i="7" a="1"/>
  <c r="M911" i="7" s="1"/>
  <c r="M912" i="7" a="1"/>
  <c r="M912" i="7" s="1"/>
  <c r="M913" i="7" a="1"/>
  <c r="M913" i="7" s="1"/>
  <c r="M914" i="7" a="1"/>
  <c r="M914" i="7" s="1"/>
  <c r="M915" i="7" a="1"/>
  <c r="M915" i="7" s="1"/>
  <c r="M916" i="7" a="1"/>
  <c r="M916" i="7" s="1"/>
  <c r="M917" i="7" a="1"/>
  <c r="M917" i="7" s="1"/>
  <c r="M918" i="7" a="1"/>
  <c r="M918" i="7" s="1"/>
  <c r="M919" i="7" a="1"/>
  <c r="M919" i="7" s="1"/>
  <c r="M920" i="7" a="1"/>
  <c r="M920" i="7" s="1"/>
  <c r="M921" i="7" a="1"/>
  <c r="M921" i="7" s="1"/>
  <c r="M922" i="7" a="1"/>
  <c r="M922" i="7" s="1"/>
  <c r="M923" i="7" a="1"/>
  <c r="M923" i="7" s="1"/>
  <c r="M924" i="7" a="1"/>
  <c r="M924" i="7" s="1"/>
  <c r="M925" i="7" a="1"/>
  <c r="M925" i="7" s="1"/>
  <c r="M926" i="7" a="1"/>
  <c r="M926" i="7" s="1"/>
  <c r="M927" i="7" a="1"/>
  <c r="M927" i="7" s="1"/>
  <c r="M928" i="7" a="1"/>
  <c r="M928" i="7" s="1"/>
  <c r="M929" i="7" a="1"/>
  <c r="M929" i="7" s="1"/>
  <c r="M930" i="7" a="1"/>
  <c r="M930" i="7" s="1"/>
  <c r="M931" i="7" a="1"/>
  <c r="M931" i="7" s="1"/>
  <c r="M932" i="7" a="1"/>
  <c r="M932" i="7" s="1"/>
  <c r="M933" i="7" a="1"/>
  <c r="M933" i="7" s="1"/>
  <c r="M934" i="7" a="1"/>
  <c r="M934" i="7" s="1"/>
  <c r="M935" i="7" a="1"/>
  <c r="M935" i="7" s="1"/>
  <c r="M936" i="7" a="1"/>
  <c r="M936" i="7" s="1"/>
  <c r="M937" i="7" a="1"/>
  <c r="M937" i="7" s="1"/>
  <c r="M938" i="7" a="1"/>
  <c r="M938" i="7" s="1"/>
  <c r="M939" i="7" a="1"/>
  <c r="M939" i="7" s="1"/>
  <c r="M940" i="7" a="1"/>
  <c r="M940" i="7" s="1"/>
  <c r="M941" i="7" a="1"/>
  <c r="M941" i="7" s="1"/>
  <c r="M942" i="7" a="1"/>
  <c r="M942" i="7" s="1"/>
  <c r="M943" i="7" a="1"/>
  <c r="M943" i="7" s="1"/>
  <c r="M944" i="7" a="1"/>
  <c r="M944" i="7" s="1"/>
  <c r="M945" i="7" a="1"/>
  <c r="M945" i="7" s="1"/>
  <c r="M946" i="7" a="1"/>
  <c r="M946" i="7" s="1"/>
  <c r="M947" i="7" a="1"/>
  <c r="M947" i="7" s="1"/>
  <c r="M948" i="7" a="1"/>
  <c r="M948" i="7" s="1"/>
  <c r="M949" i="7" a="1"/>
  <c r="M949" i="7" s="1"/>
  <c r="M950" i="7" a="1"/>
  <c r="M950" i="7" s="1"/>
  <c r="M951" i="7" a="1"/>
  <c r="M951" i="7" s="1"/>
  <c r="M952" i="7" a="1"/>
  <c r="M952" i="7" s="1"/>
  <c r="M953" i="7" a="1"/>
  <c r="M953" i="7" s="1"/>
  <c r="M954" i="7" a="1"/>
  <c r="M954" i="7" s="1"/>
  <c r="M955" i="7" a="1"/>
  <c r="M955" i="7" s="1"/>
  <c r="M956" i="7" a="1"/>
  <c r="M956" i="7" s="1"/>
  <c r="M957" i="7" a="1"/>
  <c r="M957" i="7" s="1"/>
  <c r="M958" i="7" a="1"/>
  <c r="M958" i="7" s="1"/>
  <c r="M959" i="7" a="1"/>
  <c r="M959" i="7" s="1"/>
  <c r="M960" i="7" a="1"/>
  <c r="M960" i="7" s="1"/>
  <c r="M961" i="7" a="1"/>
  <c r="M961" i="7" s="1"/>
  <c r="M962" i="7" a="1"/>
  <c r="M962" i="7" s="1"/>
  <c r="M963" i="7" a="1"/>
  <c r="M963" i="7" s="1"/>
  <c r="M964" i="7" a="1"/>
  <c r="M964" i="7" s="1"/>
  <c r="M965" i="7" a="1"/>
  <c r="M965" i="7" s="1"/>
  <c r="M966" i="7" a="1"/>
  <c r="M966" i="7" s="1"/>
  <c r="M967" i="7" a="1"/>
  <c r="M967" i="7" s="1"/>
  <c r="M968" i="7" a="1"/>
  <c r="M968" i="7" s="1"/>
  <c r="M969" i="7" a="1"/>
  <c r="M969" i="7" s="1"/>
  <c r="M970" i="7" a="1"/>
  <c r="M970" i="7" s="1"/>
  <c r="M971" i="7" a="1"/>
  <c r="M971" i="7" s="1"/>
  <c r="M972" i="7" a="1"/>
  <c r="M972" i="7" s="1"/>
  <c r="M973" i="7" a="1"/>
  <c r="M973" i="7" s="1"/>
  <c r="M974" i="7" a="1"/>
  <c r="M974" i="7" s="1"/>
  <c r="M975" i="7" a="1"/>
  <c r="M975" i="7" s="1"/>
  <c r="M976" i="7" a="1"/>
  <c r="M976" i="7" s="1"/>
  <c r="M977" i="7" a="1"/>
  <c r="M977" i="7" s="1"/>
  <c r="M978" i="7" a="1"/>
  <c r="M978" i="7" s="1"/>
  <c r="M979" i="7" a="1"/>
  <c r="M979" i="7" s="1"/>
  <c r="M980" i="7" a="1"/>
  <c r="M980" i="7" s="1"/>
  <c r="M981" i="7" a="1"/>
  <c r="M981" i="7" s="1"/>
  <c r="M982" i="7" a="1"/>
  <c r="M982" i="7" s="1"/>
  <c r="M983" i="7" a="1"/>
  <c r="M983" i="7" s="1"/>
  <c r="M984" i="7" a="1"/>
  <c r="M984" i="7" s="1"/>
  <c r="M985" i="7" a="1"/>
  <c r="M985" i="7" s="1"/>
  <c r="M986" i="7" a="1"/>
  <c r="M986" i="7" s="1"/>
  <c r="M987" i="7" a="1"/>
  <c r="M987" i="7" s="1"/>
  <c r="M988" i="7" a="1"/>
  <c r="M988" i="7" s="1"/>
  <c r="M989" i="7" a="1"/>
  <c r="M989" i="7" s="1"/>
  <c r="M990" i="7" a="1"/>
  <c r="M990" i="7" s="1"/>
  <c r="M991" i="7" a="1"/>
  <c r="M991" i="7" s="1"/>
  <c r="M992" i="7" a="1"/>
  <c r="M992" i="7" s="1"/>
  <c r="M993" i="7" a="1"/>
  <c r="M993" i="7" s="1"/>
  <c r="M994" i="7" a="1"/>
  <c r="M994" i="7" s="1"/>
  <c r="M995" i="7" a="1"/>
  <c r="M995" i="7" s="1"/>
  <c r="M996" i="7" a="1"/>
  <c r="M996" i="7" s="1"/>
  <c r="M997" i="7" a="1"/>
  <c r="M997" i="7" s="1"/>
  <c r="M998" i="7" a="1"/>
  <c r="M998" i="7" s="1"/>
  <c r="M999" i="7" a="1"/>
  <c r="M999" i="7" s="1"/>
  <c r="M1000" i="7" a="1"/>
  <c r="M1000" i="7" s="1"/>
  <c r="M1001" i="7" a="1"/>
  <c r="M1001" i="7" s="1"/>
  <c r="X13" i="1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<sst xmlns="http://schemas.openxmlformats.org/spreadsheetml/2006/main" count="8298" uniqueCount="138">
  <si>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</si>
  <si>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</si>
  <si>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</si>
  <si>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</si>
  <si>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</si>
  <si>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</si>
  <si>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</si>
  <si>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</si>
  <si>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</si>
  <si>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</si>
  <si>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</si>
  <si>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</si>
  <si>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</si>
  <si>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</si>
  <si>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</si>
  <si>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</si>
  <si>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</si>
  <si>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</si>
  <si>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</si>
  <si>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</si>
  <si>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</si>
  <si>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</si>
  <si>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</si>
  <si>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</si>
  <si>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</si>
  <si>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</si>
  <si>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</si>
  <si>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</si>
  <si>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</si>
  <si>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</si>
  <si>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</si>
  <si>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</si>
  <si>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</si>
  <si>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</si>
  <si>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</si>
  <si>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</si>
  <si>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</si>
  <si>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</si>
  <si>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</si>
  <si>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</si>
  <si>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Row Labels</t>
  </si>
  <si>
    <t>Grand Total</t>
  </si>
  <si>
    <t>Column Labels</t>
  </si>
  <si>
    <t>Count of Purchased Bike</t>
  </si>
  <si>
    <t>Middle Age</t>
  </si>
  <si>
    <t>Dashboard Assignment Questions</t>
  </si>
  <si>
    <t>Part 1: Data Exploration &amp; Preparation</t>
  </si>
  <si>
    <t>Part 2: Customer Demographics Analysis</t>
  </si>
  <si>
    <t>Part 3: Socioeconomic Factors</t>
  </si>
  <si>
    <t>Part 4: Lifestyle &amp; Geographic Analysis</t>
  </si>
  <si>
    <t>Part 5: Family Factors</t>
  </si>
  <si>
    <t>Part 6: Advanced Analytics</t>
  </si>
  <si>
    <r>
      <t>15. Interactive Filters</t>
    </r>
    <r>
      <rPr>
        <sz val="11"/>
        <color theme="1"/>
        <rFont val="Goudy Old Style"/>
        <family val="1"/>
      </rPr>
      <t>: Implement interactive filters allowing users to drill down by Region, Income Range, Age Group, and Marital Status.</t>
    </r>
  </si>
  <si>
    <t>Part 7: Dashboard Design</t>
  </si>
  <si>
    <r>
      <t>16. Executive Summary</t>
    </r>
    <r>
      <rPr>
        <sz val="11"/>
        <color theme="1"/>
        <rFont val="Goudy Old Style"/>
        <family val="1"/>
      </rPr>
      <t>: Design a single-page executive dashboard highlighting the 5 most important insights from your analysis.</t>
    </r>
  </si>
  <si>
    <r>
      <t>17. KPI Tracking</t>
    </r>
    <r>
      <rPr>
        <sz val="11"/>
        <color theme="1"/>
        <rFont val="Goudy Old Style"/>
        <family val="1"/>
      </rPr>
      <t>: Create key performance indicators (KPIs) that a bike company should monitor based on this data.</t>
    </r>
  </si>
  <si>
    <t>Bonus Challenge</t>
  </si>
  <si>
    <r>
      <t>18. What-If Analysis</t>
    </r>
    <r>
      <rPr>
        <sz val="11"/>
        <color theme="1"/>
        <rFont val="Goudy Old Style"/>
        <family val="1"/>
      </rPr>
      <t>: If you could only target ONE customer segment for a marketing campaign, which would you choose and why? Support your answer with data visualizations.</t>
    </r>
  </si>
  <si>
    <t>Submission Requirements:</t>
  </si>
  <si>
    <t>A functional, interactive dashboard</t>
  </si>
  <si>
    <t>Clear, labeled visualizations</t>
  </si>
  <si>
    <t>Written insights for each question (2-3 sentences minimum)</t>
  </si>
  <si>
    <t>Design should be clean, professional, and easy to navigate</t>
  </si>
  <si>
    <t>Count of ID</t>
  </si>
  <si>
    <t>Age Range</t>
  </si>
  <si>
    <t>Old Age</t>
  </si>
  <si>
    <t>Young Age</t>
  </si>
  <si>
    <t>Age Distribution</t>
  </si>
  <si>
    <t>Count of Gender</t>
  </si>
  <si>
    <t>Gender Analysis</t>
  </si>
  <si>
    <t>Marital Status Impact</t>
  </si>
  <si>
    <t>Income Range</t>
  </si>
  <si>
    <t>Income Analysis</t>
  </si>
  <si>
    <t>Average Income</t>
  </si>
  <si>
    <t>High Income</t>
  </si>
  <si>
    <t>Low Income</t>
  </si>
  <si>
    <t>Education Level</t>
  </si>
  <si>
    <t>Home Ownership</t>
  </si>
  <si>
    <t>Home Owners</t>
  </si>
  <si>
    <t>Non-Home Owners</t>
  </si>
  <si>
    <t>Commute Distance Impact</t>
  </si>
  <si>
    <t>Regional Comparison</t>
  </si>
  <si>
    <t xml:space="preserve"> Car Ownership</t>
  </si>
  <si>
    <t>0 Car</t>
  </si>
  <si>
    <t>1 Car</t>
  </si>
  <si>
    <t>2 Cars</t>
  </si>
  <si>
    <t>3 Cars</t>
  </si>
  <si>
    <t>4 Cars</t>
  </si>
  <si>
    <t>Children Factor</t>
  </si>
  <si>
    <t>0 Child</t>
  </si>
  <si>
    <t>1 Child</t>
  </si>
  <si>
    <t>2 Children</t>
  </si>
  <si>
    <t>3 Children</t>
  </si>
  <si>
    <t>4 Children</t>
  </si>
  <si>
    <t>5 Children</t>
  </si>
  <si>
    <t>Customer Segmentation</t>
  </si>
  <si>
    <t>(All)</t>
  </si>
  <si>
    <t>Predictive Insights</t>
  </si>
  <si>
    <t>Interactive Filters</t>
  </si>
  <si>
    <t>Purchase Conversion Rate</t>
  </si>
  <si>
    <t>Total Bike Purchasers</t>
  </si>
  <si>
    <t>Total Number of Customers</t>
  </si>
  <si>
    <t>Overall Purchase Conversion Rate</t>
  </si>
  <si>
    <t xml:space="preserve"> </t>
  </si>
  <si>
    <t>Count of Age Range</t>
  </si>
  <si>
    <r>
      <t>4. Gender Analysis</t>
    </r>
    <r>
      <rPr>
        <sz val="11"/>
        <color theme="1"/>
        <rFont val="Goudy Old Style"/>
        <family val="1"/>
      </rPr>
      <t>: Build a visualization comparing bike purchase rates between male and female customers. What insights can you draw?</t>
    </r>
    <r>
      <rPr>
        <b/>
        <sz val="11"/>
        <color theme="1"/>
        <rFont val="Goudy Old Style"/>
        <family val="1"/>
      </rPr>
      <t xml:space="preserve">
</t>
    </r>
    <r>
      <rPr>
        <b/>
        <sz val="11"/>
        <color rgb="FFFF0000"/>
        <rFont val="Goudy Old Style"/>
        <family val="1"/>
      </rPr>
      <t xml:space="preserve">Ans: With the visualization, it shows that the males purchses bike more. They had purchased 269 bikes. </t>
    </r>
  </si>
  <si>
    <r>
      <t>5. Marital Status Impact</t>
    </r>
    <r>
      <rPr>
        <sz val="11"/>
        <color theme="1"/>
        <rFont val="Goudy Old Style"/>
        <family val="1"/>
      </rPr>
      <t>: Analyze how marital status (Single vs Married) affects bike purchasing decisions.</t>
    </r>
    <r>
      <rPr>
        <b/>
        <sz val="11"/>
        <color theme="1"/>
        <rFont val="Goudy Old Style"/>
        <family val="1"/>
      </rPr>
      <t xml:space="preserve">
</t>
    </r>
    <r>
      <rPr>
        <b/>
        <sz val="11"/>
        <color rgb="FFFF0000"/>
        <rFont val="Goudy Old Style"/>
        <family val="1"/>
      </rPr>
      <t>Ans: The analysis shows that the singles purchsed 250 showing that they purchase more.</t>
    </r>
  </si>
  <si>
    <r>
      <t>6. Income Analysis</t>
    </r>
    <r>
      <rPr>
        <sz val="11"/>
        <color theme="1"/>
        <rFont val="Goudy Old Style"/>
        <family val="1"/>
      </rPr>
      <t>: Create an income bracket visualization showing purchase rates across different income levels. What is the relationship between income and bike purchases?</t>
    </r>
    <r>
      <rPr>
        <b/>
        <sz val="11"/>
        <color theme="1"/>
        <rFont val="Goudy Old Style"/>
        <family val="1"/>
      </rPr>
      <t xml:space="preserve">
</t>
    </r>
    <r>
      <rPr>
        <b/>
        <sz val="11"/>
        <color rgb="FFFF0000"/>
        <rFont val="Goudy Old Style"/>
        <family val="1"/>
      </rPr>
      <t>Ans: Using 3 income range, "low, average and high". The analysis shows that the low income earners bought 370 bikes, the avreage income earners bought 89 bikes and the high income earners bought 22 bikes. Ths shows that the average income earners are the highest purchasers of bike.</t>
    </r>
  </si>
  <si>
    <r>
      <t>7. Education Level</t>
    </r>
    <r>
      <rPr>
        <sz val="11"/>
        <color theme="1"/>
        <rFont val="Goudy Old Style"/>
        <family val="1"/>
      </rPr>
      <t>: Develop a chart showing how education level correlates with bike purchases. Which education level has the highest conversion rate?</t>
    </r>
    <r>
      <rPr>
        <b/>
        <sz val="11"/>
        <color theme="1"/>
        <rFont val="Goudy Old Style"/>
        <family val="1"/>
      </rPr>
      <t xml:space="preserve">
</t>
    </r>
    <r>
      <rPr>
        <b/>
        <sz val="11"/>
        <color rgb="FFFF0000"/>
        <rFont val="Goudy Old Style"/>
        <family val="1"/>
      </rPr>
      <t>Ans: The educational level with the highest purchase is the Bachelors with 169 purchses.</t>
    </r>
  </si>
  <si>
    <r>
      <t>3. Age Distribution</t>
    </r>
    <r>
      <rPr>
        <sz val="11"/>
        <color theme="1"/>
        <rFont val="Goudy Old Style"/>
        <family val="1"/>
      </rPr>
      <t>: Create a histogram or age group distribution showing the age ranges of customers. Which age group has the highest purchase rate?</t>
    </r>
    <r>
      <rPr>
        <b/>
        <sz val="11"/>
        <color theme="1"/>
        <rFont val="Goudy Old Style"/>
        <family val="1"/>
      </rPr>
      <t xml:space="preserve">
</t>
    </r>
    <r>
      <rPr>
        <b/>
        <sz val="11"/>
        <color rgb="FFFF0000"/>
        <rFont val="Goudy Old Style"/>
        <family val="1"/>
      </rPr>
      <t>Ans: The middle age group has the highest purchase rate of 332.</t>
    </r>
  </si>
  <si>
    <r>
      <t>2. Data Quality Check</t>
    </r>
    <r>
      <rPr>
        <sz val="11"/>
        <color theme="1"/>
        <rFont val="Goudy Old Style"/>
        <family val="1"/>
      </rPr>
      <t>: Identify and document any data quality issues (missing values, inconsistencies, or outliers) in the dataset.</t>
    </r>
    <r>
      <rPr>
        <b/>
        <sz val="11"/>
        <color theme="1"/>
        <rFont val="Goudy Old Style"/>
        <family val="1"/>
      </rPr>
      <t xml:space="preserve">
</t>
    </r>
    <r>
      <rPr>
        <b/>
        <sz val="11"/>
        <color rgb="FFFF0000"/>
        <rFont val="Goudy Old Style"/>
        <family val="1"/>
      </rPr>
      <t>Ans: Done.</t>
    </r>
  </si>
  <si>
    <r>
      <t>1. Data Overview</t>
    </r>
    <r>
      <rPr>
        <sz val="11"/>
        <color theme="1"/>
        <rFont val="Goudy Old Style"/>
        <family val="1"/>
      </rPr>
      <t>: Create a summary card showing the total number of customers, total bike purchasers, and overall purchase conversion rate.</t>
    </r>
    <r>
      <rPr>
        <b/>
        <sz val="11"/>
        <color theme="1"/>
        <rFont val="Goudy Old Style"/>
        <family val="1"/>
      </rPr>
      <t xml:space="preserve">
</t>
    </r>
    <r>
      <rPr>
        <b/>
        <sz val="11"/>
        <color rgb="FFFF0000"/>
        <rFont val="Goudy Old Style"/>
        <family val="1"/>
      </rPr>
      <t>Ans: The total no of customers are 1000, total bike purchased are 481 and overall pruchase conversion rate is 48.1%.</t>
    </r>
  </si>
  <si>
    <r>
      <t>8. Home Ownership</t>
    </r>
    <r>
      <rPr>
        <sz val="11"/>
        <color theme="1"/>
        <rFont val="Goudy Old Style"/>
        <family val="1"/>
      </rPr>
      <t>: Compare purchase rates between homeowners and non-homeowners. Create a visual representation of this comparison.</t>
    </r>
    <r>
      <rPr>
        <b/>
        <sz val="11"/>
        <color theme="1"/>
        <rFont val="Goudy Old Style"/>
        <family val="1"/>
      </rPr>
      <t xml:space="preserve">
</t>
    </r>
    <r>
      <rPr>
        <b/>
        <sz val="11"/>
        <color rgb="FFFF0000"/>
        <rFont val="Goudy Old Style"/>
        <family val="1"/>
      </rPr>
      <t>Ans: This analysis shows that the homeowners bought 325 bikes and non-homeowners bought 156 bikes stating that the homeowners are high purchsers of bike</t>
    </r>
  </si>
  <si>
    <r>
      <t>9. Commute Distance Impact</t>
    </r>
    <r>
      <rPr>
        <sz val="11"/>
        <color theme="1"/>
        <rFont val="Goudy Old Style"/>
        <family val="1"/>
      </rPr>
      <t>: Build a visualization showing how commute distance affects bike purchasing decisions. What pattern do you observe?</t>
    </r>
    <r>
      <rPr>
        <b/>
        <sz val="11"/>
        <color theme="1"/>
        <rFont val="Goudy Old Style"/>
        <family val="1"/>
      </rPr>
      <t xml:space="preserve">
</t>
    </r>
    <r>
      <rPr>
        <b/>
        <sz val="11"/>
        <color rgb="FFFF0000"/>
        <rFont val="Goudy Old Style"/>
        <family val="1"/>
      </rPr>
      <t>Ans: The 0-1 miles communte distance has the highest number of puchasers of bike.</t>
    </r>
  </si>
  <si>
    <r>
      <t>10. Regional Comparison</t>
    </r>
    <r>
      <rPr>
        <sz val="11"/>
        <color theme="1"/>
        <rFont val="Goudy Old Style"/>
        <family val="1"/>
      </rPr>
      <t>: Compare purchase rates between Europe and Pacific regions. Which region shows stronger bike adoption?</t>
    </r>
    <r>
      <rPr>
        <b/>
        <sz val="11"/>
        <color theme="1"/>
        <rFont val="Goudy Old Style"/>
        <family val="1"/>
      </rPr>
      <t xml:space="preserve">
</t>
    </r>
    <r>
      <rPr>
        <b/>
        <sz val="11"/>
        <color rgb="FFFF0000"/>
        <rFont val="Goudy Old Style"/>
        <family val="1"/>
      </rPr>
      <t>Ans: The region with the highest purchasers of bike according to this data is the North Americans with the purchase of 220 bikes.</t>
    </r>
  </si>
  <si>
    <r>
      <t>11. Car Ownership</t>
    </r>
    <r>
      <rPr>
        <sz val="11"/>
        <color theme="1"/>
        <rFont val="Goudy Old Style"/>
        <family val="1"/>
      </rPr>
      <t>: Analyze the relationship between number of cars owned and bike purchases. Is there an inverse relationship?</t>
    </r>
    <r>
      <rPr>
        <b/>
        <sz val="11"/>
        <color theme="1"/>
        <rFont val="Goudy Old Style"/>
        <family val="1"/>
      </rPr>
      <t xml:space="preserve">
</t>
    </r>
    <r>
      <rPr>
        <b/>
        <sz val="11"/>
        <color rgb="FFFF0000"/>
        <rFont val="Goudy Old Style"/>
        <family val="1"/>
      </rPr>
      <t>Ans: The data shows that the one car owners are the highest purchasers of bikes with 152 purchases</t>
    </r>
  </si>
  <si>
    <r>
      <t>12. Children Factor</t>
    </r>
    <r>
      <rPr>
        <sz val="11"/>
        <color theme="1"/>
        <rFont val="Goudy Old Style"/>
        <family val="1"/>
      </rPr>
      <t>: Create a visualization showing how the number of children impacts bike purchase decisions. What trends do you notice?</t>
    </r>
    <r>
      <rPr>
        <b/>
        <sz val="11"/>
        <color theme="1"/>
        <rFont val="Goudy Old Style"/>
        <family val="1"/>
      </rPr>
      <t xml:space="preserve">
</t>
    </r>
    <r>
      <rPr>
        <b/>
        <sz val="11"/>
        <color rgb="FFFF0000"/>
        <rFont val="Goudy Old Style"/>
        <family val="1"/>
      </rPr>
      <t>Ans: This data shows that the number of child by a family highly impacts the purchase of bike. The highest purchsers of bikes are the family with no child with the purchase of 142 bikes.</t>
    </r>
  </si>
  <si>
    <r>
      <t>13. Customer Segmentation</t>
    </r>
    <r>
      <rPr>
        <sz val="11"/>
        <color theme="1"/>
        <rFont val="Goudy Old Style"/>
        <family val="1"/>
      </rPr>
      <t>: Create a multi-dimensional analysis combining at least 3 variables (e.g., income, commute distance, and region) to identify the most promising customer segments.</t>
    </r>
    <r>
      <rPr>
        <b/>
        <sz val="11"/>
        <color theme="1"/>
        <rFont val="Goudy Old Style"/>
        <family val="1"/>
      </rPr>
      <t xml:space="preserve">
</t>
    </r>
    <r>
      <rPr>
        <b/>
        <sz val="11"/>
        <color rgb="FFFF0000"/>
        <rFont val="Goudy Old Style"/>
        <family val="1"/>
      </rPr>
      <t>Ans: Making use of these 3 variables- Income, Commute Distance and Region, it shows that the highest purchsers of bike are the low income earners within 0-1 miles commute distance in Europe with 99 purchsed bikes.</t>
    </r>
  </si>
  <si>
    <r>
      <rPr>
        <sz val="18"/>
        <color theme="1"/>
        <rFont val="Calibri"/>
        <family val="2"/>
        <scheme val="minor"/>
      </rPr>
      <t>Insights:</t>
    </r>
    <r>
      <rPr>
        <sz val="12"/>
        <color theme="1"/>
        <rFont val="Calibri"/>
        <family val="2"/>
        <scheme val="minor"/>
      </rPr>
      <t xml:space="preserve">
The total no of customers are 1000, total bike purchased are 481 and overall pruchase conversion rate which is total bike purchased/total number of customers * 100 = 48.1%.
Purchasing Behaviour by Age Distribution:
Using 3 age range, "young age, middle age and old age". The data derived shows that the middle aged are the highest purchasers of nbike. They purchased 282 bikes.
Purchasing Behaviour by Gender Analysis:
In comparisom between the male and female given the data provided it clearly shows in the visualization that the male are the highest purchasers of bike. They purchased 269 bikes.
Purchasing Behaviour by Income Analysis:
Using 3 income range, "low, average and high". The analysis shows that the low income earners bought 370 bikes, the avreage income earners bought 89 bikes and the high income earners bought 22 bikes. Ths shows that the average income earners are the highest purchasers of bike.
Purchasing Behaviour by Education Level:
Given the different educational levels provided in the data, the chart shows that the bachelors are the highest purchasers of bikess with 169 purchses.
Purchasing Behaviour by Regional Comparison:
The region with the highest purchasers of bike according to this data is the North Americans with the purchase of 220 bikes.
</t>
    </r>
  </si>
  <si>
    <t>Purchase Flag</t>
  </si>
  <si>
    <t>Category</t>
  </si>
  <si>
    <t>Why it predicts</t>
  </si>
  <si>
    <t>Income / Income Range</t>
  </si>
  <si>
    <t>Ability to afford</t>
  </si>
  <si>
    <t>Bike usefulness</t>
  </si>
  <si>
    <t>Alternative transport</t>
  </si>
  <si>
    <t>Lifestyle constraint</t>
  </si>
  <si>
    <t>Stability</t>
  </si>
  <si>
    <t>Infrastructure</t>
  </si>
  <si>
    <t>Coversion Rate</t>
  </si>
  <si>
    <t>Higher-income customers show a slightly increased likelihood of purchasing bikes, suggesting that premium or value-added offerings may perform better with this group.</t>
  </si>
  <si>
    <t>Customers in the Pacific region exhibit the highest likelihood of bike purchases, suggesting regional infrastructure and lifestyle factors may drive future demand.</t>
  </si>
  <si>
    <t>Middle-aged customers—particularly females—demonstrate the highest purchase likelihood, indicating that targeted campaigns focusing on this demographic will yield higher conversion rates.</t>
  </si>
  <si>
    <r>
      <t xml:space="preserve">Middle-aged customers are </t>
    </r>
    <r>
      <rPr>
        <b/>
        <sz val="8"/>
        <color rgb="FFFF0000"/>
        <rFont val="Calibri"/>
        <family val="2"/>
        <scheme val="minor"/>
      </rPr>
      <t>significantly more likely</t>
    </r>
    <r>
      <rPr>
        <sz val="8"/>
        <color rgb="FFFF0000"/>
        <rFont val="Calibri"/>
        <family val="2"/>
        <scheme val="minor"/>
      </rPr>
      <t xml:space="preserve"> to purchase bikes, indicating that future demand will be strongest within this age segment.</t>
    </r>
  </si>
  <si>
    <r>
      <t xml:space="preserve">Gender has </t>
    </r>
    <r>
      <rPr>
        <b/>
        <sz val="8"/>
        <color rgb="FFFF0000"/>
        <rFont val="Calibri"/>
        <family val="2"/>
        <scheme val="minor"/>
      </rPr>
      <t>minimal impact</t>
    </r>
    <r>
      <rPr>
        <sz val="8"/>
        <color rgb="FFFF0000"/>
        <rFont val="Calibri"/>
        <family val="2"/>
        <scheme val="minor"/>
      </rPr>
      <t xml:space="preserve"> on bike purchasing likelihood, suggesting future campaigns should not heavily prioritize one gender over the other.</t>
    </r>
  </si>
  <si>
    <t>Customers with higher educational attainment (Bachelor’s and Graduate degrees) are significantly more likely to purchase bikes than those with lower education levels.</t>
  </si>
  <si>
    <t>Predictive Conversion Rate</t>
  </si>
  <si>
    <r>
      <t>14. Predictive Insights</t>
    </r>
    <r>
      <rPr>
        <sz val="11"/>
        <color theme="1"/>
        <rFont val="Goudy Old Style"/>
        <family val="1"/>
      </rPr>
      <t>: Based on your analysis, create a profile of the "ideal bike buyer" - what characteristics do they typically have?</t>
    </r>
    <r>
      <rPr>
        <b/>
        <sz val="11"/>
        <color theme="1"/>
        <rFont val="Goudy Old Style"/>
        <family val="1"/>
      </rPr>
      <t xml:space="preserve">
</t>
    </r>
    <r>
      <rPr>
        <b/>
        <sz val="11"/>
        <color rgb="FFFF0000"/>
        <rFont val="Goudy Old Style"/>
        <family val="1"/>
      </rPr>
      <t>Ans: Based on historical purchasing patterns and slicer-driven segmentation, the likelihood of bike purchase increases significantly among middle-aged customers with short commute distances (0–5 miles), higher educational attainment (Bachelor’s or Graduate level), and average to high income levels. The highest predicted conversion rates are observed within the Pacific region. These patterns indicate that future bike sales are most likely to be driven by professionally employed, mid-career individuals whose commuting needs align with short-distance mobility solutions.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</si>
</sst>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3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8"/>
      <color theme="1"/>
      <name val="Goudy Old Style"/>
      <family val="1"/>
    </font>
    <font>
      <sz val="11"/>
      <color theme="1"/>
      <name val="Goudy Old Style"/>
      <family val="1"/>
    </font>
    <font>
      <b/>
      <sz val="13.5"/>
      <color theme="1"/>
      <name val="Goudy Old Style"/>
      <family val="1"/>
    </font>
    <font>
      <b/>
      <sz val="11"/>
      <color theme="1"/>
      <name val="Goudy Old Style"/>
      <family val="1"/>
    </font>
    <font>
      <b/>
      <sz val="22"/>
      <color theme="1"/>
      <name val="Calibri"/>
      <family val="2"/>
      <scheme val="minor"/>
    </font>
    <font>
      <sz val="14"/>
      <color theme="1"/>
      <name val="Calibri"/>
      <family val="2"/>
      <scheme val="minor"/>
    </font>
    <font>
      <b/>
      <sz val="16"/>
      <color theme="1"/>
      <name val="Calibri"/>
      <family val="2"/>
      <scheme val="minor"/>
    </font>
    <font>
      <sz val="11"/>
      <color theme="1"/>
      <name val="Aptos Serif"/>
      <family val="1"/>
    </font>
    <font>
      <sz val="10"/>
      <color theme="1"/>
      <name val="Georgia"/>
      <family val="1"/>
    </font>
    <font>
      <b/>
      <sz val="11"/>
      <color rgb="FFFF0000"/>
      <name val="Goudy Old Style"/>
      <family val="1"/>
    </font>
    <font>
      <sz val="12"/>
      <color theme="1"/>
      <name val="Calibri"/>
      <family val="2"/>
      <scheme val="minor"/>
    </font>
    <font>
      <sz val="18"/>
      <color theme="1"/>
      <name val="Calibri"/>
      <family val="2"/>
      <scheme val="minor"/>
    </font>
    <font>
      <sz val="8"/>
      <color theme="1"/>
      <name val="Calibri"/>
      <family val="2"/>
      <scheme val="minor"/>
    </font>
    <font>
      <sz val="8"/>
      <color rgb="FFFF0000"/>
      <name val="Calibri"/>
      <family val="2"/>
      <scheme val="minor"/>
    </font>
    <font>
      <b/>
      <sz val="8"/>
      <color rgb="FFFF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ABABAB"/>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7">
    <xf numFmtId="0" fontId="0" fillId="0" borderId="0" xfId="0"/>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9" fillId="0" borderId="0" xfId="0" applyFont="1" applyAlignment="1">
      <alignment vertical="center"/>
    </xf>
    <xf numFmtId="0" fontId="20" fillId="0" borderId="0" xfId="0" applyFont="1"/>
    <xf numFmtId="0" fontId="21" fillId="0" borderId="0" xfId="0" applyFont="1" applyAlignment="1">
      <alignment vertical="center"/>
    </xf>
    <xf numFmtId="0" fontId="20" fillId="0" borderId="0" xfId="0" applyFont="1" applyAlignment="1">
      <alignment horizontal="left" vertical="center" indent="1"/>
    </xf>
    <xf numFmtId="0" fontId="22" fillId="0" borderId="0" xfId="0" applyFont="1" applyAlignment="1">
      <alignment horizontal="left" vertical="center" wrapText="1" indent="1"/>
    </xf>
    <xf numFmtId="0" fontId="16" fillId="0" borderId="0" xfId="0" applyFont="1"/>
    <xf numFmtId="0" fontId="0" fillId="0" borderId="0" xfId="0" applyAlignment="1">
      <alignment horizontal="left" vertical="center" indent="1"/>
    </xf>
    <xf numFmtId="0" fontId="23" fillId="0" borderId="0" xfId="0" applyFont="1" applyAlignment="1">
      <alignment horizontal="left" vertical="center" indent="1"/>
    </xf>
    <xf numFmtId="0" fontId="24" fillId="0" borderId="0" xfId="0" applyFont="1"/>
    <xf numFmtId="0" fontId="25" fillId="0" borderId="0" xfId="0" applyFont="1"/>
    <xf numFmtId="10" fontId="0" fillId="0" borderId="0" xfId="0" applyNumberFormat="1"/>
    <xf numFmtId="0" fontId="26" fillId="0" borderId="0" xfId="0" applyFont="1"/>
    <xf numFmtId="0" fontId="27" fillId="0" borderId="0" xfId="0" applyFont="1"/>
    <xf numFmtId="0" fontId="0" fillId="0" borderId="0" xfId="0" applyAlignment="1">
      <alignment vertical="center"/>
    </xf>
    <xf numFmtId="0" fontId="16" fillId="0" borderId="0" xfId="0" applyFont="1" applyAlignment="1">
      <alignment horizontal="left" vertical="center"/>
    </xf>
    <xf numFmtId="9" fontId="0" fillId="0" borderId="0" xfId="0" applyNumberFormat="1"/>
    <xf numFmtId="0" fontId="31" fillId="0" borderId="0" xfId="0" applyFont="1" applyAlignment="1">
      <alignment vertical="top" wrapText="1"/>
    </xf>
    <xf numFmtId="10" fontId="0" fillId="0" borderId="10" xfId="0" applyNumberFormat="1" applyBorder="1"/>
    <xf numFmtId="10" fontId="0" fillId="0" borderId="0" xfId="42" applyNumberFormat="1" applyFont="1"/>
    <xf numFmtId="0" fontId="32" fillId="0" borderId="0" xfId="0" applyFont="1" applyAlignment="1">
      <alignment horizontal="left" vertical="top" wrapText="1"/>
    </xf>
    <xf numFmtId="0" fontId="29" fillId="33" borderId="0" xfId="0" applyFont="1" applyFill="1" applyAlignment="1">
      <alignment horizontal="left"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9">
    <dxf>
      <numFmt numFmtId="0" formatCode="General"/>
    </dxf>
    <dxf>
      <numFmt numFmtId="0" formatCode="General"/>
    </dxf>
    <dxf>
      <numFmt numFmtId="0" formatCode="General"/>
    </dxf>
    <dxf>
      <numFmt numFmtId="165" formatCode="&quot;$&quot;#,##0"/>
    </dxf>
    <dxf>
      <numFmt numFmtId="13" formatCode="0%"/>
    </dxf>
    <dxf>
      <numFmt numFmtId="13" formatCode="0%"/>
    </dxf>
    <dxf>
      <border>
        <left/>
        <right/>
        <bottom/>
      </border>
    </dxf>
    <dxf>
      <border>
        <left/>
        <right/>
        <bottom/>
      </border>
    </dxf>
    <dxf>
      <border>
        <left/>
        <right/>
        <bottom/>
      </border>
    </dxf>
    <dxf>
      <border>
        <left/>
        <right/>
        <top/>
        <bottom/>
      </border>
    </dxf>
    <dxf>
      <numFmt numFmtId="14" formatCode="0.00%"/>
    </dxf>
    <dxf>
      <numFmt numFmtId="13" formatCode="0%"/>
    </dxf>
    <dxf>
      <numFmt numFmtId="13" formatCode="0%"/>
    </dxf>
    <dxf>
      <numFmt numFmtId="13" formatCode="0%"/>
    </dxf>
    <dxf>
      <numFmt numFmtId="13" formatCode="0%"/>
    </dxf>
    <dxf>
      <font>
        <b/>
        <i val="0"/>
        <color theme="0"/>
      </font>
      <fill>
        <patternFill>
          <fgColor theme="0" tint="-0.499984740745262"/>
          <bgColor rgb="FF006166"/>
        </patternFill>
      </fill>
      <border>
        <vertical/>
        <horizontal/>
      </border>
    </dxf>
    <dxf>
      <font>
        <color theme="1"/>
      </font>
      <fill>
        <patternFill>
          <fgColor theme="0"/>
          <bgColor theme="0"/>
        </patternFill>
      </fill>
      <border diagonalUp="0" diagonalDown="0">
        <left style="thin">
          <color theme="0" tint="-0.14993743705557422"/>
        </left>
        <right style="thin">
          <color theme="0" tint="-0.14993743705557422"/>
        </right>
        <top style="thin">
          <color theme="0" tint="-0.14993743705557422"/>
        </top>
        <bottom style="thin">
          <color theme="0" tint="-0.14993743705557422"/>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New" pivot="0" table="0" count="10" xr9:uid="{3504D14E-F5B0-43F4-995C-9C89AAD5CD41}">
      <tableStyleElement type="wholeTable" dxfId="18"/>
      <tableStyleElement type="headerRow" dxfId="17"/>
    </tableStyle>
    <tableStyle name="SlicerStyleOther1 2" pivot="0" table="0" count="6" xr9:uid="{37F180C4-48A9-4A80-A29F-EAA8B6694923}">
      <tableStyleElement type="wholeTable" dxfId="16"/>
      <tableStyleElement type="headerRow" dxfId="15"/>
    </tableStyle>
  </tableStyles>
  <colors>
    <mruColors>
      <color rgb="FFFFD757"/>
      <color rgb="FFFFC000"/>
      <color rgb="FF006166"/>
    </mruColors>
  </colors>
  <extLst>
    <ext xmlns:x14="http://schemas.microsoft.com/office/spreadsheetml/2009/9/main" uri="{46F421CA-312F-682f-3DD2-61675219B42D}">
      <x14:dxfs count="1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rgb="FF006166"/>
              <bgColor rgb="FFFFD757"/>
            </patternFill>
          </fill>
          <border>
            <vertical/>
            <horizontal/>
          </border>
        </dxf>
        <dxf>
          <font>
            <color theme="0" tint="-0.499984740745262"/>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New">
          <x14:slicerStyleElements>
            <x14:slicerStyleElement type="unselectedItemWithData" dxfId="11"/>
            <x14:slicerStyleElement type="unselectedItemWithNoData" dxfId="10"/>
            <x14:slicerStyleElement type="selectedItemWithData" dxfId="9"/>
            <x14:slicerStyleElement type="selectedItemWithNoData" dxfId="8"/>
            <x14:slicerStyleElement type="hoveredUnselectedItemWithData" dxfId="7"/>
            <x14:slicerStyleElement type="hoveredSelectedItemWithData" dxfId="6"/>
            <x14:slicerStyleElement type="hoveredUnselectedItemWithNoData" dxfId="5"/>
            <x14:slicerStyleElement type="hoveredSelectedItemWithNoData" dxfId="4"/>
          </x14:slicerStyleElements>
        </x14:slicerStyle>
        <x14:slicerStyle name="SlicerStyleOther1 2">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eetMetadata" Target="metadata.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[Bike_Sales_Dashboard.xlsx]Pivot!PivotTable12</c:name>
    <c:fmtId val="2"/>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Pivot!$H$11:$H$12</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Pivot!$G$13:$G$15</c:f>
              <c:strCache>
                <c:ptCount val="2"/>
                <c:pt idx="0">
                  <c:v>Female</c:v>
                </c:pt>
                <c:pt idx="1">
                  <c:v>Male</c:v>
                </c:pt>
              </c:strCache>
            </c:strRef>
          </c:cat>
          <c:val>
            <c:numRef>
              <c:f>Pivot!$H$13:$H$15</c:f>
              <c:numCache>
                <c:formatCode>General</c:formatCode>
                <c:ptCount val="2"/>
                <c:pt idx="0">
                  <c:v>250</c:v>
                </c:pt>
                <c:pt idx="1">
                  <c:v>269</c:v>
                </c:pt>
              </c:numCache>
            </c:numRef>
          </c:val>
          <c:extLst>
            <c:ext xmlns:c16="http://schemas.microsoft.com/office/drawing/2014/chart" uri="{C3380CC4-5D6E-409C-BE32-E72D297353CC}">
              <c16:uniqueId val="{00000000-2B3C-4A79-9EF5-4B99BE93E35E}"/>
            </c:ext>
          </c:extLst>
        </c:ser>
        <c:ser>
          <c:idx val="1"/>
          <c:order val="1"/>
          <c:tx>
            <c:strRef>
              <c:f>Pivot!$I$11:$I$12</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Pivot!$G$13:$G$15</c:f>
              <c:strCache>
                <c:ptCount val="2"/>
                <c:pt idx="0">
                  <c:v>Female</c:v>
                </c:pt>
                <c:pt idx="1">
                  <c:v>Male</c:v>
                </c:pt>
              </c:strCache>
            </c:strRef>
          </c:cat>
          <c:val>
            <c:numRef>
              <c:f>Pivot!$I$13:$I$15</c:f>
              <c:numCache>
                <c:formatCode>General</c:formatCode>
                <c:ptCount val="2"/>
                <c:pt idx="0">
                  <c:v>239</c:v>
                </c:pt>
                <c:pt idx="1">
                  <c:v>242</c:v>
                </c:pt>
              </c:numCache>
            </c:numRef>
          </c:val>
          <c:extLst>
            <c:ext xmlns:c16="http://schemas.microsoft.com/office/drawing/2014/chart" uri="{C3380CC4-5D6E-409C-BE32-E72D297353CC}">
              <c16:uniqueId val="{00000000-94A9-49BF-8CE0-A292A3C45434}"/>
            </c:ext>
          </c:extLst>
        </c:ser>
        <c:dLbls>
          <c:dLblPos val="inEnd"/>
          <c:showLegendKey val="0"/>
          <c:showVal val="1"/>
          <c:showCatName val="0"/>
          <c:showSerName val="0"/>
          <c:showPercent val="0"/>
          <c:showBubbleSize val="0"/>
        </c:dLbls>
        <c:gapWidth val="65"/>
        <c:axId val="1596815807"/>
        <c:axId val="1596808127"/>
      </c:barChart>
      <c:valAx>
        <c:axId val="159680812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96815807"/>
        <c:crosses val="autoZero"/>
        <c:crossBetween val="between"/>
      </c:valAx>
      <c:catAx>
        <c:axId val="159681580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96808127"/>
        <c:crosses val="autoZero"/>
        <c:auto val="1"/>
        <c:lblAlgn val="ctr"/>
        <c:lblOffset val="100"/>
        <c:noMultiLvlLbl val="0"/>
      </c:cat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[Bike_Sales_Dashboard.xlsx]Pivot!PivotTable13</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Pivot!$N$11:$N$12</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45D-4B47-8114-C547ED1BD13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345D-4B47-8114-C547ED1BD13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Pivot!$M$13:$M$15</c:f>
              <c:strCache>
                <c:ptCount val="2"/>
                <c:pt idx="0">
                  <c:v>Married</c:v>
                </c:pt>
                <c:pt idx="1">
                  <c:v>Single</c:v>
                </c:pt>
              </c:strCache>
            </c:strRef>
          </c:cat>
          <c:val>
            <c:numRef>
              <c:f>Pivot!$N$13:$N$15</c:f>
              <c:numCache>
                <c:formatCode>General</c:formatCode>
                <c:ptCount val="2"/>
                <c:pt idx="0">
                  <c:v>307</c:v>
                </c:pt>
                <c:pt idx="1">
                  <c:v>212</c:v>
                </c:pt>
              </c:numCache>
            </c:numRef>
          </c:val>
          <c:extLst>
            <c:ext xmlns:c16="http://schemas.microsoft.com/office/drawing/2014/chart" uri="{C3380CC4-5D6E-409C-BE32-E72D297353CC}">
              <c16:uniqueId val="{00000000-345D-4B47-8114-C547ED1BD135}"/>
            </c:ext>
          </c:extLst>
        </c:ser>
        <c:ser>
          <c:idx val="1"/>
          <c:order val="1"/>
          <c:tx>
            <c:strRef>
              <c:f>Pivot!$O$11:$O$12</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45D-4B47-8114-C547ED1BD13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345D-4B47-8114-C547ED1BD13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Pivot!$M$13:$M$15</c:f>
              <c:strCache>
                <c:ptCount val="2"/>
                <c:pt idx="0">
                  <c:v>Married</c:v>
                </c:pt>
                <c:pt idx="1">
                  <c:v>Single</c:v>
                </c:pt>
              </c:strCache>
            </c:strRef>
          </c:cat>
          <c:val>
            <c:numRef>
              <c:f>Pivot!$O$13:$O$15</c:f>
              <c:numCache>
                <c:formatCode>General</c:formatCode>
                <c:ptCount val="2"/>
                <c:pt idx="0">
                  <c:v>231</c:v>
                </c:pt>
                <c:pt idx="1">
                  <c:v>250</c:v>
                </c:pt>
              </c:numCache>
            </c:numRef>
          </c:val>
          <c:extLst>
            <c:ext xmlns:c16="http://schemas.microsoft.com/office/drawing/2014/chart" uri="{C3380CC4-5D6E-409C-BE32-E72D297353CC}">
              <c16:uniqueId val="{00000001-345D-4B47-8114-C547ED1BD135}"/>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[Bike_Sales_Dashboard.xlsx]Pivot!PivotTable14</c:name>
    <c:fmtId val="0"/>
  </c:pivotSource>
  <c:chart>
    <c:autoTitleDeleted val="1"/>
    <c:pivotFmts>
      <c:pivotFmt>
        <c:idx val="0"/>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a:noFill/>
          </a:ln>
          <a:effectLst>
            <a:innerShdw dist="12700" dir="16200000">
              <a:schemeClr val="lt1"/>
            </a:innerShdw>
          </a:effectLst>
        </c:spPr>
        <c:dLbl>
          <c:idx val="0"/>
          <c:layout>
            <c:manualLayout>
              <c:x val="-1.6666666666666614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a:noFill/>
          </a:ln>
          <a:effectLst>
            <a:innerShdw dist="12700" dir="16200000">
              <a:schemeClr val="lt1"/>
            </a:innerShdw>
          </a:effectLst>
        </c:spPr>
        <c:dLbl>
          <c:idx val="0"/>
          <c:layout>
            <c:manualLayout>
              <c:x val="4.1666666666666664E-2"/>
              <c:y val="-4.62962962962979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Pivot!$B$36:$B$37</c:f>
              <c:strCache>
                <c:ptCount val="1"/>
                <c:pt idx="0">
                  <c:v>No</c:v>
                </c:pt>
              </c:strCache>
            </c:strRef>
          </c:tx>
          <c:spPr>
            <a:solidFill>
              <a:schemeClr val="accent1">
                <a:alpha val="85000"/>
              </a:schemeClr>
            </a:solidFill>
            <a:ln>
              <a:noFill/>
            </a:ln>
            <a:effectLst>
              <a:innerShdw dist="12700" dir="16200000">
                <a:schemeClr val="lt1"/>
              </a:innerShdw>
            </a:effectLst>
          </c:spPr>
          <c:dPt>
            <c:idx val="1"/>
            <c:bubble3D val="0"/>
            <c:extLst>
              <c:ext xmlns:c16="http://schemas.microsoft.com/office/drawing/2014/chart" uri="{C3380CC4-5D6E-409C-BE32-E72D297353CC}">
                <c16:uniqueId val="{00000004-9CF2-428A-8155-F17630D481EA}"/>
              </c:ext>
            </c:extLst>
          </c:dPt>
          <c:dLbls>
            <c:dLbl>
              <c:idx val="1"/>
              <c:layout>
                <c:manualLayout>
                  <c:x val="4.1666666666666664E-2"/>
                  <c:y val="-4.62962962962979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CF2-428A-8155-F17630D481E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Pivot!$A$38:$A$41</c:f>
              <c:strCache>
                <c:ptCount val="3"/>
                <c:pt idx="0">
                  <c:v>Average Income</c:v>
                </c:pt>
                <c:pt idx="1">
                  <c:v>High Income</c:v>
                </c:pt>
                <c:pt idx="2">
                  <c:v>Low Income</c:v>
                </c:pt>
              </c:strCache>
            </c:strRef>
          </c:cat>
          <c:val>
            <c:numRef>
              <c:f>Pivot!$B$38:$B$41</c:f>
              <c:numCache>
                <c:formatCode>General</c:formatCode>
                <c:ptCount val="3"/>
                <c:pt idx="0">
                  <c:v>104</c:v>
                </c:pt>
                <c:pt idx="1">
                  <c:v>20</c:v>
                </c:pt>
                <c:pt idx="2">
                  <c:v>395</c:v>
                </c:pt>
              </c:numCache>
            </c:numRef>
          </c:val>
          <c:extLst>
            <c:ext xmlns:c16="http://schemas.microsoft.com/office/drawing/2014/chart" uri="{C3380CC4-5D6E-409C-BE32-E72D297353CC}">
              <c16:uniqueId val="{00000000-9CF2-428A-8155-F17630D481EA}"/>
            </c:ext>
          </c:extLst>
        </c:ser>
        <c:ser>
          <c:idx val="1"/>
          <c:order val="1"/>
          <c:tx>
            <c:strRef>
              <c:f>Pivot!$C$36:$C$37</c:f>
              <c:strCache>
                <c:ptCount val="1"/>
                <c:pt idx="0">
                  <c:v>Yes</c:v>
                </c:pt>
              </c:strCache>
            </c:strRef>
          </c:tx>
          <c:spPr>
            <a:solidFill>
              <a:schemeClr val="accent2">
                <a:alpha val="85000"/>
              </a:schemeClr>
            </a:solidFill>
            <a:ln w="25400">
              <a:noFill/>
            </a:ln>
            <a:effectLst>
              <a:innerShdw dist="12700" dir="16200000">
                <a:schemeClr val="lt1"/>
              </a:innerShdw>
            </a:effectLst>
          </c:spPr>
          <c:dPt>
            <c:idx val="1"/>
            <c:bubble3D val="0"/>
            <c:spPr>
              <a:solidFill>
                <a:schemeClr val="accent2">
                  <a:alpha val="85000"/>
                </a:schemeClr>
              </a:solidFill>
              <a:ln>
                <a:noFill/>
              </a:ln>
              <a:effectLst>
                <a:innerShdw dist="12700" dir="16200000">
                  <a:schemeClr val="lt1"/>
                </a:innerShdw>
              </a:effectLst>
            </c:spPr>
            <c:extLst>
              <c:ext xmlns:c16="http://schemas.microsoft.com/office/drawing/2014/chart" uri="{C3380CC4-5D6E-409C-BE32-E72D297353CC}">
                <c16:uniqueId val="{00000002-CF4D-4645-AE2F-22CCF2F8A056}"/>
              </c:ext>
            </c:extLst>
          </c:dPt>
          <c:dLbls>
            <c:dLbl>
              <c:idx val="1"/>
              <c:layout>
                <c:manualLayout>
                  <c:x val="-1.6666666666666614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F4D-4645-AE2F-22CCF2F8A05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Pivot!$A$38:$A$41</c:f>
              <c:strCache>
                <c:ptCount val="3"/>
                <c:pt idx="0">
                  <c:v>Average Income</c:v>
                </c:pt>
                <c:pt idx="1">
                  <c:v>High Income</c:v>
                </c:pt>
                <c:pt idx="2">
                  <c:v>Low Income</c:v>
                </c:pt>
              </c:strCache>
            </c:strRef>
          </c:cat>
          <c:val>
            <c:numRef>
              <c:f>Pivot!$C$38:$C$41</c:f>
              <c:numCache>
                <c:formatCode>General</c:formatCode>
                <c:ptCount val="3"/>
                <c:pt idx="0">
                  <c:v>89</c:v>
                </c:pt>
                <c:pt idx="1">
                  <c:v>22</c:v>
                </c:pt>
                <c:pt idx="2">
                  <c:v>370</c:v>
                </c:pt>
              </c:numCache>
            </c:numRef>
          </c:val>
          <c:extLst>
            <c:ext xmlns:c16="http://schemas.microsoft.com/office/drawing/2014/chart" uri="{C3380CC4-5D6E-409C-BE32-E72D297353CC}">
              <c16:uniqueId val="{00000003-57A4-44F3-986B-65429D20D540}"/>
            </c:ext>
          </c:extLst>
        </c:ser>
        <c:dLbls>
          <c:showLegendKey val="0"/>
          <c:showVal val="1"/>
          <c:showCatName val="0"/>
          <c:showSerName val="0"/>
          <c:showPercent val="0"/>
          <c:showBubbleSize val="0"/>
        </c:dLbls>
        <c:axId val="1505384128"/>
        <c:axId val="1505388448"/>
      </c:areaChart>
      <c:catAx>
        <c:axId val="15053841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05388448"/>
        <c:crosses val="autoZero"/>
        <c:auto val="1"/>
        <c:lblAlgn val="ctr"/>
        <c:lblOffset val="100"/>
        <c:noMultiLvlLbl val="0"/>
      </c:catAx>
      <c:valAx>
        <c:axId val="150538844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05384128"/>
        <c:crosses val="autoZero"/>
        <c:crossBetween val="midCa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[Bike_Sales_Dashboard.xlsx]Pivot!PivotTable15</c:name>
    <c:fmtId val="0"/>
  </c:pivotSource>
  <c:chart>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Pivot!$H$36:$H$37</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Pivot!$G$38:$G$43</c:f>
              <c:strCache>
                <c:ptCount val="5"/>
                <c:pt idx="0">
                  <c:v>Bachelors</c:v>
                </c:pt>
                <c:pt idx="1">
                  <c:v>Graduate Degree</c:v>
                </c:pt>
                <c:pt idx="2">
                  <c:v>High School</c:v>
                </c:pt>
                <c:pt idx="3">
                  <c:v>Partial College</c:v>
                </c:pt>
                <c:pt idx="4">
                  <c:v>Partial High School</c:v>
                </c:pt>
              </c:strCache>
            </c:strRef>
          </c:cat>
          <c:val>
            <c:numRef>
              <c:f>Pivot!$H$38:$H$43</c:f>
              <c:numCache>
                <c:formatCode>General</c:formatCode>
                <c:ptCount val="5"/>
                <c:pt idx="0">
                  <c:v>137</c:v>
                </c:pt>
                <c:pt idx="1">
                  <c:v>80</c:v>
                </c:pt>
                <c:pt idx="2">
                  <c:v>100</c:v>
                </c:pt>
                <c:pt idx="3">
                  <c:v>146</c:v>
                </c:pt>
                <c:pt idx="4">
                  <c:v>56</c:v>
                </c:pt>
              </c:numCache>
            </c:numRef>
          </c:val>
          <c:smooth val="0"/>
          <c:extLst>
            <c:ext xmlns:c16="http://schemas.microsoft.com/office/drawing/2014/chart" uri="{C3380CC4-5D6E-409C-BE32-E72D297353CC}">
              <c16:uniqueId val="{00000000-FD46-445F-99F5-904E1DDBDC3C}"/>
            </c:ext>
          </c:extLst>
        </c:ser>
        <c:ser>
          <c:idx val="1"/>
          <c:order val="1"/>
          <c:tx>
            <c:strRef>
              <c:f>Pivot!$I$36:$I$37</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Pivot!$G$38:$G$43</c:f>
              <c:strCache>
                <c:ptCount val="5"/>
                <c:pt idx="0">
                  <c:v>Bachelors</c:v>
                </c:pt>
                <c:pt idx="1">
                  <c:v>Graduate Degree</c:v>
                </c:pt>
                <c:pt idx="2">
                  <c:v>High School</c:v>
                </c:pt>
                <c:pt idx="3">
                  <c:v>Partial College</c:v>
                </c:pt>
                <c:pt idx="4">
                  <c:v>Partial High School</c:v>
                </c:pt>
              </c:strCache>
            </c:strRef>
          </c:cat>
          <c:val>
            <c:numRef>
              <c:f>Pivot!$I$38:$I$43</c:f>
              <c:numCache>
                <c:formatCode>General</c:formatCode>
                <c:ptCount val="5"/>
                <c:pt idx="0">
                  <c:v>169</c:v>
                </c:pt>
                <c:pt idx="1">
                  <c:v>94</c:v>
                </c:pt>
                <c:pt idx="2">
                  <c:v>79</c:v>
                </c:pt>
                <c:pt idx="3">
                  <c:v>119</c:v>
                </c:pt>
                <c:pt idx="4">
                  <c:v>20</c:v>
                </c:pt>
              </c:numCache>
            </c:numRef>
          </c:val>
          <c:smooth val="0"/>
          <c:extLst>
            <c:ext xmlns:c16="http://schemas.microsoft.com/office/drawing/2014/chart" uri="{C3380CC4-5D6E-409C-BE32-E72D297353CC}">
              <c16:uniqueId val="{00000000-28AA-4CE0-8E81-A8065EFE810D}"/>
            </c:ext>
          </c:extLst>
        </c:ser>
        <c:dLbls>
          <c:dLblPos val="ctr"/>
          <c:showLegendKey val="0"/>
          <c:showVal val="1"/>
          <c:showCatName val="0"/>
          <c:showSerName val="0"/>
          <c:showPercent val="0"/>
          <c:showBubbleSize val="0"/>
        </c:dLbls>
        <c:marker val="1"/>
        <c:smooth val="0"/>
        <c:axId val="1715761599"/>
        <c:axId val="1715771199"/>
      </c:lineChart>
      <c:catAx>
        <c:axId val="17157615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15771199"/>
        <c:crosses val="autoZero"/>
        <c:auto val="1"/>
        <c:lblAlgn val="ctr"/>
        <c:lblOffset val="100"/>
        <c:noMultiLvlLbl val="0"/>
      </c:catAx>
      <c:valAx>
        <c:axId val="171577119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71576159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[Bike_Sales_Dashboard.xlsx]Pivot!PivotTable16</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Pivot!$N$36:$N$37</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cat>
            <c:strRef>
              <c:f>Pivot!$M$38:$M$40</c:f>
              <c:strCache>
                <c:ptCount val="2"/>
                <c:pt idx="0">
                  <c:v>Non-Home Owners</c:v>
                </c:pt>
                <c:pt idx="1">
                  <c:v>Home Owners</c:v>
                </c:pt>
              </c:strCache>
            </c:strRef>
          </c:cat>
          <c:val>
            <c:numRef>
              <c:f>Pivot!$N$38:$N$40</c:f>
              <c:numCache>
                <c:formatCode>General</c:formatCode>
                <c:ptCount val="2"/>
                <c:pt idx="0">
                  <c:v>161</c:v>
                </c:pt>
                <c:pt idx="1">
                  <c:v>358</c:v>
                </c:pt>
              </c:numCache>
            </c:numRef>
          </c:val>
          <c:extLst>
            <c:ext xmlns:c16="http://schemas.microsoft.com/office/drawing/2014/chart" uri="{C3380CC4-5D6E-409C-BE32-E72D297353CC}">
              <c16:uniqueId val="{00000000-3650-4383-B2E0-366828E8A26C}"/>
            </c:ext>
          </c:extLst>
        </c:ser>
        <c:ser>
          <c:idx val="1"/>
          <c:order val="1"/>
          <c:tx>
            <c:strRef>
              <c:f>Pivot!$O$36:$O$37</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cat>
            <c:strRef>
              <c:f>Pivot!$M$38:$M$40</c:f>
              <c:strCache>
                <c:ptCount val="2"/>
                <c:pt idx="0">
                  <c:v>Non-Home Owners</c:v>
                </c:pt>
                <c:pt idx="1">
                  <c:v>Home Owners</c:v>
                </c:pt>
              </c:strCache>
            </c:strRef>
          </c:cat>
          <c:val>
            <c:numRef>
              <c:f>Pivot!$O$38:$O$40</c:f>
              <c:numCache>
                <c:formatCode>General</c:formatCode>
                <c:ptCount val="2"/>
                <c:pt idx="0">
                  <c:v>156</c:v>
                </c:pt>
                <c:pt idx="1">
                  <c:v>325</c:v>
                </c:pt>
              </c:numCache>
            </c:numRef>
          </c:val>
          <c:extLst>
            <c:ext xmlns:c16="http://schemas.microsoft.com/office/drawing/2014/chart" uri="{C3380CC4-5D6E-409C-BE32-E72D297353CC}">
              <c16:uniqueId val="{00000001-3650-4383-B2E0-366828E8A26C}"/>
            </c:ext>
          </c:extLst>
        </c:ser>
        <c:dLbls>
          <c:showLegendKey val="0"/>
          <c:showVal val="0"/>
          <c:showCatName val="0"/>
          <c:showSerName val="0"/>
          <c:showPercent val="0"/>
          <c:showBubbleSize val="0"/>
        </c:dLbls>
        <c:gapWidth val="150"/>
        <c:overlap val="100"/>
        <c:axId val="1489770704"/>
        <c:axId val="1489774544"/>
      </c:barChart>
      <c:catAx>
        <c:axId val="14897707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89774544"/>
        <c:crosses val="autoZero"/>
        <c:auto val="1"/>
        <c:lblAlgn val="ctr"/>
        <c:lblOffset val="100"/>
        <c:noMultiLvlLbl val="0"/>
      </c:catAx>
      <c:valAx>
        <c:axId val="1489774544"/>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89770704"/>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[Bike_Sales_Dashboard.xlsx]Pivot!PivotTable17</c:name>
    <c:fmtId val="0"/>
  </c:pivotSource>
  <c:chart>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solidFill>
            <a:round/>
          </a:ln>
          <a:effectLst/>
        </c:spPr>
        <c:marker>
          <c:symbol val="circle"/>
          <c:size val="17"/>
          <c:spPr>
            <a:solidFill>
              <a:schemeClr val="accent2"/>
            </a:solidFill>
            <a:ln>
              <a:noFill/>
            </a:ln>
            <a:effectLst/>
          </c:spPr>
        </c:marker>
      </c:pivotFmt>
    </c:pivotFmts>
    <c:plotArea>
      <c:layout/>
      <c:lineChart>
        <c:grouping val="standard"/>
        <c:varyColors val="0"/>
        <c:ser>
          <c:idx val="0"/>
          <c:order val="0"/>
          <c:tx>
            <c:strRef>
              <c:f>Pivot!$B$63:$B$64</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Pivot!$A$65:$A$70</c:f>
              <c:strCache>
                <c:ptCount val="5"/>
                <c:pt idx="0">
                  <c:v>0-1 Miles</c:v>
                </c:pt>
                <c:pt idx="1">
                  <c:v>10+ Miles</c:v>
                </c:pt>
                <c:pt idx="2">
                  <c:v>1-2 Miles</c:v>
                </c:pt>
                <c:pt idx="3">
                  <c:v>2-5 Miles</c:v>
                </c:pt>
                <c:pt idx="4">
                  <c:v>5-10 Miles</c:v>
                </c:pt>
              </c:strCache>
            </c:strRef>
          </c:cat>
          <c:val>
            <c:numRef>
              <c:f>Pivot!$B$65:$B$70</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A50B-45FF-BD6E-2E82B6121EB3}"/>
            </c:ext>
          </c:extLst>
        </c:ser>
        <c:ser>
          <c:idx val="1"/>
          <c:order val="1"/>
          <c:tx>
            <c:strRef>
              <c:f>Pivot!$C$63:$C$64</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Pivot!$A$65:$A$70</c:f>
              <c:strCache>
                <c:ptCount val="5"/>
                <c:pt idx="0">
                  <c:v>0-1 Miles</c:v>
                </c:pt>
                <c:pt idx="1">
                  <c:v>10+ Miles</c:v>
                </c:pt>
                <c:pt idx="2">
                  <c:v>1-2 Miles</c:v>
                </c:pt>
                <c:pt idx="3">
                  <c:v>2-5 Miles</c:v>
                </c:pt>
                <c:pt idx="4">
                  <c:v>5-10 Miles</c:v>
                </c:pt>
              </c:strCache>
            </c:strRef>
          </c:cat>
          <c:val>
            <c:numRef>
              <c:f>Pivot!$C$65:$C$70</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A50B-45FF-BD6E-2E82B6121EB3}"/>
            </c:ext>
          </c:extLst>
        </c:ser>
        <c:dLbls>
          <c:dLblPos val="ctr"/>
          <c:showLegendKey val="0"/>
          <c:showVal val="1"/>
          <c:showCatName val="0"/>
          <c:showSerName val="0"/>
          <c:showPercent val="0"/>
          <c:showBubbleSize val="0"/>
        </c:dLbls>
        <c:marker val="1"/>
        <c:smooth val="0"/>
        <c:axId val="1416480255"/>
        <c:axId val="1416475455"/>
      </c:lineChart>
      <c:catAx>
        <c:axId val="14164802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16475455"/>
        <c:crosses val="autoZero"/>
        <c:auto val="1"/>
        <c:lblAlgn val="ctr"/>
        <c:lblOffset val="100"/>
        <c:noMultiLvlLbl val="0"/>
      </c:catAx>
      <c:valAx>
        <c:axId val="14164754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1648025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[Bike_Sales_Dashboard.xlsx]Pivot!PivotTable18</c:name>
    <c:fmtId val="0"/>
  </c:pivotSource>
  <c:chart>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1.6666666666666614E-2"/>
              <c:y val="2.314814814814814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Pivot!$H$63:$H$64</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E64-4826-8685-5AC05EFFAC2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15E-4391-9D46-47A35D48E32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15E-4391-9D46-47A35D48E322}"/>
              </c:ext>
            </c:extLst>
          </c:dPt>
          <c:dLbls>
            <c:dLbl>
              <c:idx val="0"/>
              <c:layout>
                <c:manualLayout>
                  <c:x val="-1.6666666666666614E-2"/>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E64-4826-8685-5AC05EFFAC26}"/>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Pivot!$G$65:$G$68</c:f>
              <c:strCache>
                <c:ptCount val="3"/>
                <c:pt idx="0">
                  <c:v>Europe</c:v>
                </c:pt>
                <c:pt idx="1">
                  <c:v>North America</c:v>
                </c:pt>
                <c:pt idx="2">
                  <c:v>Pacific</c:v>
                </c:pt>
              </c:strCache>
            </c:strRef>
          </c:cat>
          <c:val>
            <c:numRef>
              <c:f>Pivot!$H$65:$H$68</c:f>
              <c:numCache>
                <c:formatCode>General</c:formatCode>
                <c:ptCount val="3"/>
                <c:pt idx="0">
                  <c:v>152</c:v>
                </c:pt>
                <c:pt idx="1">
                  <c:v>288</c:v>
                </c:pt>
                <c:pt idx="2">
                  <c:v>79</c:v>
                </c:pt>
              </c:numCache>
            </c:numRef>
          </c:val>
          <c:extLst>
            <c:ext xmlns:c16="http://schemas.microsoft.com/office/drawing/2014/chart" uri="{C3380CC4-5D6E-409C-BE32-E72D297353CC}">
              <c16:uniqueId val="{00000000-CE64-4826-8685-5AC05EFFAC26}"/>
            </c:ext>
          </c:extLst>
        </c:ser>
        <c:ser>
          <c:idx val="1"/>
          <c:order val="1"/>
          <c:tx>
            <c:strRef>
              <c:f>Pivot!$I$63:$I$64</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FF5-488F-8589-45507BEA121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FF5-488F-8589-45507BEA121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0FF5-488F-8589-45507BEA121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Pivot!$G$65:$G$68</c:f>
              <c:strCache>
                <c:ptCount val="3"/>
                <c:pt idx="0">
                  <c:v>Europe</c:v>
                </c:pt>
                <c:pt idx="1">
                  <c:v>North America</c:v>
                </c:pt>
                <c:pt idx="2">
                  <c:v>Pacific</c:v>
                </c:pt>
              </c:strCache>
            </c:strRef>
          </c:cat>
          <c:val>
            <c:numRef>
              <c:f>Pivot!$I$65:$I$68</c:f>
              <c:numCache>
                <c:formatCode>General</c:formatCode>
                <c:ptCount val="3"/>
                <c:pt idx="0">
                  <c:v>148</c:v>
                </c:pt>
                <c:pt idx="1">
                  <c:v>220</c:v>
                </c:pt>
                <c:pt idx="2">
                  <c:v>113</c:v>
                </c:pt>
              </c:numCache>
            </c:numRef>
          </c:val>
          <c:extLst>
            <c:ext xmlns:c16="http://schemas.microsoft.com/office/drawing/2014/chart" uri="{C3380CC4-5D6E-409C-BE32-E72D297353CC}">
              <c16:uniqueId val="{0000000C-443E-4659-9816-9FAE5A720C2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[Bike_Sales_Dashboard.xlsx]Pivot!PivotTable19</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Pivot!$N$63:$N$64</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Pivot!$M$65:$M$70</c:f>
              <c:strCache>
                <c:ptCount val="5"/>
                <c:pt idx="0">
                  <c:v>0 Car</c:v>
                </c:pt>
                <c:pt idx="1">
                  <c:v>1 Car</c:v>
                </c:pt>
                <c:pt idx="2">
                  <c:v>2 Cars</c:v>
                </c:pt>
                <c:pt idx="3">
                  <c:v>3 Cars</c:v>
                </c:pt>
                <c:pt idx="4">
                  <c:v>4 Cars</c:v>
                </c:pt>
              </c:strCache>
            </c:strRef>
          </c:cat>
          <c:val>
            <c:numRef>
              <c:f>Pivot!$N$65:$N$70</c:f>
              <c:numCache>
                <c:formatCode>General</c:formatCode>
                <c:ptCount val="5"/>
                <c:pt idx="0">
                  <c:v>96</c:v>
                </c:pt>
                <c:pt idx="1">
                  <c:v>115</c:v>
                </c:pt>
                <c:pt idx="2">
                  <c:v>218</c:v>
                </c:pt>
                <c:pt idx="3">
                  <c:v>52</c:v>
                </c:pt>
                <c:pt idx="4">
                  <c:v>38</c:v>
                </c:pt>
              </c:numCache>
            </c:numRef>
          </c:val>
          <c:extLst>
            <c:ext xmlns:c16="http://schemas.microsoft.com/office/drawing/2014/chart" uri="{C3380CC4-5D6E-409C-BE32-E72D297353CC}">
              <c16:uniqueId val="{00000000-E1AF-4B85-A4CA-A83BA020FE62}"/>
            </c:ext>
          </c:extLst>
        </c:ser>
        <c:ser>
          <c:idx val="1"/>
          <c:order val="1"/>
          <c:tx>
            <c:strRef>
              <c:f>Pivot!$O$63:$O$64</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Pivot!$M$65:$M$70</c:f>
              <c:strCache>
                <c:ptCount val="5"/>
                <c:pt idx="0">
                  <c:v>0 Car</c:v>
                </c:pt>
                <c:pt idx="1">
                  <c:v>1 Car</c:v>
                </c:pt>
                <c:pt idx="2">
                  <c:v>2 Cars</c:v>
                </c:pt>
                <c:pt idx="3">
                  <c:v>3 Cars</c:v>
                </c:pt>
                <c:pt idx="4">
                  <c:v>4 Cars</c:v>
                </c:pt>
              </c:strCache>
            </c:strRef>
          </c:cat>
          <c:val>
            <c:numRef>
              <c:f>Pivot!$O$65:$O$70</c:f>
              <c:numCache>
                <c:formatCode>General</c:formatCode>
                <c:ptCount val="5"/>
                <c:pt idx="0">
                  <c:v>151</c:v>
                </c:pt>
                <c:pt idx="1">
                  <c:v>152</c:v>
                </c:pt>
                <c:pt idx="2">
                  <c:v>124</c:v>
                </c:pt>
                <c:pt idx="3">
                  <c:v>33</c:v>
                </c:pt>
                <c:pt idx="4">
                  <c:v>21</c:v>
                </c:pt>
              </c:numCache>
            </c:numRef>
          </c:val>
          <c:extLst>
            <c:ext xmlns:c16="http://schemas.microsoft.com/office/drawing/2014/chart" uri="{C3380CC4-5D6E-409C-BE32-E72D297353CC}">
              <c16:uniqueId val="{00000001-E1AF-4B85-A4CA-A83BA020FE62}"/>
            </c:ext>
          </c:extLst>
        </c:ser>
        <c:dLbls>
          <c:dLblPos val="inBase"/>
          <c:showLegendKey val="0"/>
          <c:showVal val="1"/>
          <c:showCatName val="0"/>
          <c:showSerName val="0"/>
          <c:showPercent val="0"/>
          <c:showBubbleSize val="0"/>
        </c:dLbls>
        <c:gapWidth val="65"/>
        <c:axId val="1513633056"/>
        <c:axId val="1513646016"/>
      </c:barChart>
      <c:catAx>
        <c:axId val="151363305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13646016"/>
        <c:crosses val="autoZero"/>
        <c:auto val="1"/>
        <c:lblAlgn val="ctr"/>
        <c:lblOffset val="100"/>
        <c:noMultiLvlLbl val="0"/>
      </c:catAx>
      <c:valAx>
        <c:axId val="151364601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136330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[Bike_Sales_Dashboard.xlsx]Pivot!PivotTable20</c:name>
    <c:fmtId val="0"/>
  </c:pivotSource>
  <c:chart>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Pivot!$B$90:$B$91</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1AC-4F70-B57B-D1F7AE4E04C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1AC-4F70-B57B-D1F7AE4E04C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1AC-4F70-B57B-D1F7AE4E04C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1AC-4F70-B57B-D1F7AE4E04C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1AC-4F70-B57B-D1F7AE4E04CE}"/>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31AC-4F70-B57B-D1F7AE4E04C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Pivot!$A$92:$A$98</c:f>
              <c:strCache>
                <c:ptCount val="6"/>
                <c:pt idx="0">
                  <c:v>0 Child</c:v>
                </c:pt>
                <c:pt idx="1">
                  <c:v>1 Child</c:v>
                </c:pt>
                <c:pt idx="2">
                  <c:v>2 Children</c:v>
                </c:pt>
                <c:pt idx="3">
                  <c:v>3 Children</c:v>
                </c:pt>
                <c:pt idx="4">
                  <c:v>4 Children</c:v>
                </c:pt>
                <c:pt idx="5">
                  <c:v>5 Children</c:v>
                </c:pt>
              </c:strCache>
            </c:strRef>
          </c:cat>
          <c:val>
            <c:numRef>
              <c:f>Pivot!$B$92:$B$98</c:f>
              <c:numCache>
                <c:formatCode>General</c:formatCode>
                <c:ptCount val="6"/>
                <c:pt idx="0">
                  <c:v>139</c:v>
                </c:pt>
                <c:pt idx="1">
                  <c:v>72</c:v>
                </c:pt>
                <c:pt idx="2">
                  <c:v>112</c:v>
                </c:pt>
                <c:pt idx="3">
                  <c:v>61</c:v>
                </c:pt>
                <c:pt idx="4">
                  <c:v>72</c:v>
                </c:pt>
                <c:pt idx="5">
                  <c:v>63</c:v>
                </c:pt>
              </c:numCache>
            </c:numRef>
          </c:val>
          <c:extLst>
            <c:ext xmlns:c16="http://schemas.microsoft.com/office/drawing/2014/chart" uri="{C3380CC4-5D6E-409C-BE32-E72D297353CC}">
              <c16:uniqueId val="{00000000-B799-4752-85A7-A05A81B45A6F}"/>
            </c:ext>
          </c:extLst>
        </c:ser>
        <c:ser>
          <c:idx val="1"/>
          <c:order val="1"/>
          <c:tx>
            <c:strRef>
              <c:f>Pivot!$C$90:$C$91</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31AC-4F70-B57B-D1F7AE4E04C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31AC-4F70-B57B-D1F7AE4E04C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31AC-4F70-B57B-D1F7AE4E04C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31AC-4F70-B57B-D1F7AE4E04C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31AC-4F70-B57B-D1F7AE4E04CE}"/>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31AC-4F70-B57B-D1F7AE4E04C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Pivot!$A$92:$A$98</c:f>
              <c:strCache>
                <c:ptCount val="6"/>
                <c:pt idx="0">
                  <c:v>0 Child</c:v>
                </c:pt>
                <c:pt idx="1">
                  <c:v>1 Child</c:v>
                </c:pt>
                <c:pt idx="2">
                  <c:v>2 Children</c:v>
                </c:pt>
                <c:pt idx="3">
                  <c:v>3 Children</c:v>
                </c:pt>
                <c:pt idx="4">
                  <c:v>4 Children</c:v>
                </c:pt>
                <c:pt idx="5">
                  <c:v>5 Children</c:v>
                </c:pt>
              </c:strCache>
            </c:strRef>
          </c:cat>
          <c:val>
            <c:numRef>
              <c:f>Pivot!$C$92:$C$98</c:f>
              <c:numCache>
                <c:formatCode>General</c:formatCode>
                <c:ptCount val="6"/>
                <c:pt idx="0">
                  <c:v>142</c:v>
                </c:pt>
                <c:pt idx="1">
                  <c:v>97</c:v>
                </c:pt>
                <c:pt idx="2">
                  <c:v>97</c:v>
                </c:pt>
                <c:pt idx="3">
                  <c:v>73</c:v>
                </c:pt>
                <c:pt idx="4">
                  <c:v>54</c:v>
                </c:pt>
                <c:pt idx="5">
                  <c:v>18</c:v>
                </c:pt>
              </c:numCache>
            </c:numRef>
          </c:val>
          <c:extLst>
            <c:ext xmlns:c16="http://schemas.microsoft.com/office/drawing/2014/chart" uri="{C3380CC4-5D6E-409C-BE32-E72D297353CC}">
              <c16:uniqueId val="{00000001-B799-4752-85A7-A05A81B45A6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[Bike_Sales_Dashboard.xlsx]Pivot!PivotTable21</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Pivot!$B$118:$B$119</c:f>
              <c:strCache>
                <c:ptCount val="1"/>
                <c:pt idx="0">
                  <c:v>0-1 Miles</c:v>
                </c:pt>
              </c:strCache>
            </c:strRef>
          </c:tx>
          <c:spPr>
            <a:solidFill>
              <a:schemeClr val="accent1">
                <a:alpha val="85000"/>
              </a:schemeClr>
            </a:solidFill>
            <a:ln w="9525" cap="flat" cmpd="sng" algn="ctr">
              <a:solidFill>
                <a:schemeClr val="lt1">
                  <a:alpha val="50000"/>
                </a:schemeClr>
              </a:solidFill>
              <a:round/>
            </a:ln>
            <a:effectLst/>
          </c:spPr>
          <c:invertIfNegative val="0"/>
          <c:cat>
            <c:multiLvlStrRef>
              <c:f>Pivot!$A$120:$A$132</c:f>
              <c:multiLvlStrCache>
                <c:ptCount val="9"/>
                <c:lvl>
                  <c:pt idx="0">
                    <c:v>Average Income</c:v>
                  </c:pt>
                  <c:pt idx="1">
                    <c:v>High Income</c:v>
                  </c:pt>
                  <c:pt idx="2">
                    <c:v>Low Income</c:v>
                  </c:pt>
                  <c:pt idx="3">
                    <c:v>Average Income</c:v>
                  </c:pt>
                  <c:pt idx="4">
                    <c:v>High Income</c:v>
                  </c:pt>
                  <c:pt idx="5">
                    <c:v>Low Income</c:v>
                  </c:pt>
                  <c:pt idx="6">
                    <c:v>Average Income</c:v>
                  </c:pt>
                  <c:pt idx="7">
                    <c:v>High Income</c:v>
                  </c:pt>
                  <c:pt idx="8">
                    <c:v>Low Income</c:v>
                  </c:pt>
                </c:lvl>
                <c:lvl>
                  <c:pt idx="0">
                    <c:v>Europe</c:v>
                  </c:pt>
                  <c:pt idx="3">
                    <c:v>North America</c:v>
                  </c:pt>
                  <c:pt idx="6">
                    <c:v>Pacific</c:v>
                  </c:pt>
                </c:lvl>
              </c:multiLvlStrCache>
            </c:multiLvlStrRef>
          </c:cat>
          <c:val>
            <c:numRef>
              <c:f>Pivot!$B$120:$B$132</c:f>
              <c:numCache>
                <c:formatCode>General</c:formatCode>
                <c:ptCount val="9"/>
                <c:pt idx="0">
                  <c:v>3</c:v>
                </c:pt>
                <c:pt idx="1">
                  <c:v>3</c:v>
                </c:pt>
                <c:pt idx="2">
                  <c:v>99</c:v>
                </c:pt>
                <c:pt idx="3">
                  <c:v>14</c:v>
                </c:pt>
                <c:pt idx="4">
                  <c:v>6</c:v>
                </c:pt>
                <c:pt idx="5">
                  <c:v>37</c:v>
                </c:pt>
                <c:pt idx="6">
                  <c:v>9</c:v>
                </c:pt>
                <c:pt idx="7">
                  <c:v>4</c:v>
                </c:pt>
                <c:pt idx="8">
                  <c:v>25</c:v>
                </c:pt>
              </c:numCache>
            </c:numRef>
          </c:val>
          <c:extLst>
            <c:ext xmlns:c16="http://schemas.microsoft.com/office/drawing/2014/chart" uri="{C3380CC4-5D6E-409C-BE32-E72D297353CC}">
              <c16:uniqueId val="{00000000-7649-4D2D-BB9A-F4CDD337B59F}"/>
            </c:ext>
          </c:extLst>
        </c:ser>
        <c:ser>
          <c:idx val="1"/>
          <c:order val="1"/>
          <c:tx>
            <c:strRef>
              <c:f>Pivot!$C$118:$C$119</c:f>
              <c:strCache>
                <c:ptCount val="1"/>
                <c:pt idx="0">
                  <c:v>10+ Miles</c:v>
                </c:pt>
              </c:strCache>
            </c:strRef>
          </c:tx>
          <c:spPr>
            <a:solidFill>
              <a:schemeClr val="accent2">
                <a:alpha val="85000"/>
              </a:schemeClr>
            </a:solidFill>
            <a:ln w="9525" cap="flat" cmpd="sng" algn="ctr">
              <a:solidFill>
                <a:schemeClr val="lt1">
                  <a:alpha val="50000"/>
                </a:schemeClr>
              </a:solidFill>
              <a:round/>
            </a:ln>
            <a:effectLst/>
          </c:spPr>
          <c:invertIfNegative val="0"/>
          <c:cat>
            <c:multiLvlStrRef>
              <c:f>Pivot!$A$120:$A$132</c:f>
              <c:multiLvlStrCache>
                <c:ptCount val="9"/>
                <c:lvl>
                  <c:pt idx="0">
                    <c:v>Average Income</c:v>
                  </c:pt>
                  <c:pt idx="1">
                    <c:v>High Income</c:v>
                  </c:pt>
                  <c:pt idx="2">
                    <c:v>Low Income</c:v>
                  </c:pt>
                  <c:pt idx="3">
                    <c:v>Average Income</c:v>
                  </c:pt>
                  <c:pt idx="4">
                    <c:v>High Income</c:v>
                  </c:pt>
                  <c:pt idx="5">
                    <c:v>Low Income</c:v>
                  </c:pt>
                  <c:pt idx="6">
                    <c:v>Average Income</c:v>
                  </c:pt>
                  <c:pt idx="7">
                    <c:v>High Income</c:v>
                  </c:pt>
                  <c:pt idx="8">
                    <c:v>Low Income</c:v>
                  </c:pt>
                </c:lvl>
                <c:lvl>
                  <c:pt idx="0">
                    <c:v>Europe</c:v>
                  </c:pt>
                  <c:pt idx="3">
                    <c:v>North America</c:v>
                  </c:pt>
                  <c:pt idx="6">
                    <c:v>Pacific</c:v>
                  </c:pt>
                </c:lvl>
              </c:multiLvlStrCache>
            </c:multiLvlStrRef>
          </c:cat>
          <c:val>
            <c:numRef>
              <c:f>Pivot!$C$120:$C$132</c:f>
              <c:numCache>
                <c:formatCode>General</c:formatCode>
                <c:ptCount val="9"/>
                <c:pt idx="0">
                  <c:v>2</c:v>
                </c:pt>
                <c:pt idx="1">
                  <c:v>1</c:v>
                </c:pt>
                <c:pt idx="3">
                  <c:v>2</c:v>
                </c:pt>
                <c:pt idx="5">
                  <c:v>13</c:v>
                </c:pt>
                <c:pt idx="6">
                  <c:v>12</c:v>
                </c:pt>
                <c:pt idx="8">
                  <c:v>3</c:v>
                </c:pt>
              </c:numCache>
            </c:numRef>
          </c:val>
          <c:extLst>
            <c:ext xmlns:c16="http://schemas.microsoft.com/office/drawing/2014/chart" uri="{C3380CC4-5D6E-409C-BE32-E72D297353CC}">
              <c16:uniqueId val="{00000001-7649-4D2D-BB9A-F4CDD337B59F}"/>
            </c:ext>
          </c:extLst>
        </c:ser>
        <c:ser>
          <c:idx val="2"/>
          <c:order val="2"/>
          <c:tx>
            <c:strRef>
              <c:f>Pivot!$D$118:$D$119</c:f>
              <c:strCache>
                <c:ptCount val="1"/>
                <c:pt idx="0">
                  <c:v>1-2 Miles</c:v>
                </c:pt>
              </c:strCache>
            </c:strRef>
          </c:tx>
          <c:spPr>
            <a:solidFill>
              <a:schemeClr val="accent3">
                <a:alpha val="85000"/>
              </a:schemeClr>
            </a:solidFill>
            <a:ln w="9525" cap="flat" cmpd="sng" algn="ctr">
              <a:solidFill>
                <a:schemeClr val="lt1">
                  <a:alpha val="50000"/>
                </a:schemeClr>
              </a:solidFill>
              <a:round/>
            </a:ln>
            <a:effectLst/>
          </c:spPr>
          <c:invertIfNegative val="0"/>
          <c:cat>
            <c:multiLvlStrRef>
              <c:f>Pivot!$A$120:$A$132</c:f>
              <c:multiLvlStrCache>
                <c:ptCount val="9"/>
                <c:lvl>
                  <c:pt idx="0">
                    <c:v>Average Income</c:v>
                  </c:pt>
                  <c:pt idx="1">
                    <c:v>High Income</c:v>
                  </c:pt>
                  <c:pt idx="2">
                    <c:v>Low Income</c:v>
                  </c:pt>
                  <c:pt idx="3">
                    <c:v>Average Income</c:v>
                  </c:pt>
                  <c:pt idx="4">
                    <c:v>High Income</c:v>
                  </c:pt>
                  <c:pt idx="5">
                    <c:v>Low Income</c:v>
                  </c:pt>
                  <c:pt idx="6">
                    <c:v>Average Income</c:v>
                  </c:pt>
                  <c:pt idx="7">
                    <c:v>High Income</c:v>
                  </c:pt>
                  <c:pt idx="8">
                    <c:v>Low Income</c:v>
                  </c:pt>
                </c:lvl>
                <c:lvl>
                  <c:pt idx="0">
                    <c:v>Europe</c:v>
                  </c:pt>
                  <c:pt idx="3">
                    <c:v>North America</c:v>
                  </c:pt>
                  <c:pt idx="6">
                    <c:v>Pacific</c:v>
                  </c:pt>
                </c:lvl>
              </c:multiLvlStrCache>
            </c:multiLvlStrRef>
          </c:cat>
          <c:val>
            <c:numRef>
              <c:f>Pivot!$D$120:$D$132</c:f>
              <c:numCache>
                <c:formatCode>General</c:formatCode>
                <c:ptCount val="9"/>
                <c:pt idx="2">
                  <c:v>16</c:v>
                </c:pt>
                <c:pt idx="3">
                  <c:v>10</c:v>
                </c:pt>
                <c:pt idx="5">
                  <c:v>36</c:v>
                </c:pt>
                <c:pt idx="6">
                  <c:v>7</c:v>
                </c:pt>
                <c:pt idx="8">
                  <c:v>8</c:v>
                </c:pt>
              </c:numCache>
            </c:numRef>
          </c:val>
          <c:extLst>
            <c:ext xmlns:c16="http://schemas.microsoft.com/office/drawing/2014/chart" uri="{C3380CC4-5D6E-409C-BE32-E72D297353CC}">
              <c16:uniqueId val="{00000002-7649-4D2D-BB9A-F4CDD337B59F}"/>
            </c:ext>
          </c:extLst>
        </c:ser>
        <c:ser>
          <c:idx val="3"/>
          <c:order val="3"/>
          <c:tx>
            <c:strRef>
              <c:f>Pivot!$E$118:$E$119</c:f>
              <c:strCache>
                <c:ptCount val="1"/>
                <c:pt idx="0">
                  <c:v>2-5 Miles</c:v>
                </c:pt>
              </c:strCache>
            </c:strRef>
          </c:tx>
          <c:spPr>
            <a:solidFill>
              <a:schemeClr val="accent4">
                <a:alpha val="85000"/>
              </a:schemeClr>
            </a:solidFill>
            <a:ln w="9525" cap="flat" cmpd="sng" algn="ctr">
              <a:solidFill>
                <a:schemeClr val="lt1">
                  <a:alpha val="50000"/>
                </a:schemeClr>
              </a:solidFill>
              <a:round/>
            </a:ln>
            <a:effectLst/>
          </c:spPr>
          <c:invertIfNegative val="0"/>
          <c:cat>
            <c:multiLvlStrRef>
              <c:f>Pivot!$A$120:$A$132</c:f>
              <c:multiLvlStrCache>
                <c:ptCount val="9"/>
                <c:lvl>
                  <c:pt idx="0">
                    <c:v>Average Income</c:v>
                  </c:pt>
                  <c:pt idx="1">
                    <c:v>High Income</c:v>
                  </c:pt>
                  <c:pt idx="2">
                    <c:v>Low Income</c:v>
                  </c:pt>
                  <c:pt idx="3">
                    <c:v>Average Income</c:v>
                  </c:pt>
                  <c:pt idx="4">
                    <c:v>High Income</c:v>
                  </c:pt>
                  <c:pt idx="5">
                    <c:v>Low Income</c:v>
                  </c:pt>
                  <c:pt idx="6">
                    <c:v>Average Income</c:v>
                  </c:pt>
                  <c:pt idx="7">
                    <c:v>High Income</c:v>
                  </c:pt>
                  <c:pt idx="8">
                    <c:v>Low Income</c:v>
                  </c:pt>
                </c:lvl>
                <c:lvl>
                  <c:pt idx="0">
                    <c:v>Europe</c:v>
                  </c:pt>
                  <c:pt idx="3">
                    <c:v>North America</c:v>
                  </c:pt>
                  <c:pt idx="6">
                    <c:v>Pacific</c:v>
                  </c:pt>
                </c:lvl>
              </c:multiLvlStrCache>
            </c:multiLvlStrRef>
          </c:cat>
          <c:val>
            <c:numRef>
              <c:f>Pivot!$E$120:$E$132</c:f>
              <c:numCache>
                <c:formatCode>General</c:formatCode>
                <c:ptCount val="9"/>
                <c:pt idx="0">
                  <c:v>4</c:v>
                </c:pt>
                <c:pt idx="2">
                  <c:v>10</c:v>
                </c:pt>
                <c:pt idx="3">
                  <c:v>9</c:v>
                </c:pt>
                <c:pt idx="4">
                  <c:v>1</c:v>
                </c:pt>
                <c:pt idx="5">
                  <c:v>60</c:v>
                </c:pt>
                <c:pt idx="6">
                  <c:v>5</c:v>
                </c:pt>
                <c:pt idx="7">
                  <c:v>1</c:v>
                </c:pt>
                <c:pt idx="8">
                  <c:v>5</c:v>
                </c:pt>
              </c:numCache>
            </c:numRef>
          </c:val>
          <c:extLst>
            <c:ext xmlns:c16="http://schemas.microsoft.com/office/drawing/2014/chart" uri="{C3380CC4-5D6E-409C-BE32-E72D297353CC}">
              <c16:uniqueId val="{00000003-7649-4D2D-BB9A-F4CDD337B59F}"/>
            </c:ext>
          </c:extLst>
        </c:ser>
        <c:ser>
          <c:idx val="4"/>
          <c:order val="4"/>
          <c:tx>
            <c:strRef>
              <c:f>Pivot!$F$118:$F$119</c:f>
              <c:strCache>
                <c:ptCount val="1"/>
                <c:pt idx="0">
                  <c:v>5-10 Miles</c:v>
                </c:pt>
              </c:strCache>
            </c:strRef>
          </c:tx>
          <c:spPr>
            <a:solidFill>
              <a:schemeClr val="accent5">
                <a:alpha val="85000"/>
              </a:schemeClr>
            </a:solidFill>
            <a:ln w="9525" cap="flat" cmpd="sng" algn="ctr">
              <a:solidFill>
                <a:schemeClr val="lt1">
                  <a:alpha val="50000"/>
                </a:schemeClr>
              </a:solidFill>
              <a:round/>
            </a:ln>
            <a:effectLst/>
          </c:spPr>
          <c:invertIfNegative val="0"/>
          <c:cat>
            <c:multiLvlStrRef>
              <c:f>Pivot!$A$120:$A$132</c:f>
              <c:multiLvlStrCache>
                <c:ptCount val="9"/>
                <c:lvl>
                  <c:pt idx="0">
                    <c:v>Average Income</c:v>
                  </c:pt>
                  <c:pt idx="1">
                    <c:v>High Income</c:v>
                  </c:pt>
                  <c:pt idx="2">
                    <c:v>Low Income</c:v>
                  </c:pt>
                  <c:pt idx="3">
                    <c:v>Average Income</c:v>
                  </c:pt>
                  <c:pt idx="4">
                    <c:v>High Income</c:v>
                  </c:pt>
                  <c:pt idx="5">
                    <c:v>Low Income</c:v>
                  </c:pt>
                  <c:pt idx="6">
                    <c:v>Average Income</c:v>
                  </c:pt>
                  <c:pt idx="7">
                    <c:v>High Income</c:v>
                  </c:pt>
                  <c:pt idx="8">
                    <c:v>Low Income</c:v>
                  </c:pt>
                </c:lvl>
                <c:lvl>
                  <c:pt idx="0">
                    <c:v>Europe</c:v>
                  </c:pt>
                  <c:pt idx="3">
                    <c:v>North America</c:v>
                  </c:pt>
                  <c:pt idx="6">
                    <c:v>Pacific</c:v>
                  </c:pt>
                </c:lvl>
              </c:multiLvlStrCache>
            </c:multiLvlStrRef>
          </c:cat>
          <c:val>
            <c:numRef>
              <c:f>Pivot!$F$120:$F$132</c:f>
              <c:numCache>
                <c:formatCode>General</c:formatCode>
                <c:ptCount val="9"/>
                <c:pt idx="0">
                  <c:v>3</c:v>
                </c:pt>
                <c:pt idx="1">
                  <c:v>6</c:v>
                </c:pt>
                <c:pt idx="2">
                  <c:v>1</c:v>
                </c:pt>
                <c:pt idx="3">
                  <c:v>6</c:v>
                </c:pt>
                <c:pt idx="5">
                  <c:v>26</c:v>
                </c:pt>
                <c:pt idx="6">
                  <c:v>3</c:v>
                </c:pt>
                <c:pt idx="8">
                  <c:v>31</c:v>
                </c:pt>
              </c:numCache>
            </c:numRef>
          </c:val>
          <c:extLst>
            <c:ext xmlns:c16="http://schemas.microsoft.com/office/drawing/2014/chart" uri="{C3380CC4-5D6E-409C-BE32-E72D297353CC}">
              <c16:uniqueId val="{00000004-7649-4D2D-BB9A-F4CDD337B59F}"/>
            </c:ext>
          </c:extLst>
        </c:ser>
        <c:dLbls>
          <c:showLegendKey val="0"/>
          <c:showVal val="0"/>
          <c:showCatName val="0"/>
          <c:showSerName val="0"/>
          <c:showPercent val="0"/>
          <c:showBubbleSize val="0"/>
        </c:dLbls>
        <c:gapWidth val="65"/>
        <c:axId val="2107816079"/>
        <c:axId val="2107797839"/>
      </c:barChart>
      <c:catAx>
        <c:axId val="21078160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07797839"/>
        <c:crosses val="autoZero"/>
        <c:auto val="1"/>
        <c:lblAlgn val="ctr"/>
        <c:lblOffset val="100"/>
        <c:noMultiLvlLbl val="0"/>
      </c:catAx>
      <c:valAx>
        <c:axId val="210779783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107816079"/>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[Bike_Sales_Dashboard.xlsx]Pivot!PivotTable23</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Pivot!$O$118:$O$119</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Pivot!$N$120:$N$122</c:f>
              <c:strCache>
                <c:ptCount val="2"/>
                <c:pt idx="0">
                  <c:v>F</c:v>
                </c:pt>
                <c:pt idx="1">
                  <c:v>M</c:v>
                </c:pt>
              </c:strCache>
            </c:strRef>
          </c:cat>
          <c:val>
            <c:numRef>
              <c:f>Pivot!$O$120:$O$122</c:f>
              <c:numCache>
                <c:formatCode>General</c:formatCode>
                <c:ptCount val="2"/>
                <c:pt idx="0">
                  <c:v>250</c:v>
                </c:pt>
                <c:pt idx="1">
                  <c:v>269</c:v>
                </c:pt>
              </c:numCache>
            </c:numRef>
          </c:val>
          <c:extLst>
            <c:ext xmlns:c16="http://schemas.microsoft.com/office/drawing/2014/chart" uri="{C3380CC4-5D6E-409C-BE32-E72D297353CC}">
              <c16:uniqueId val="{00000000-9AA7-4EF7-A5A4-3FEEF1F5B5ED}"/>
            </c:ext>
          </c:extLst>
        </c:ser>
        <c:ser>
          <c:idx val="1"/>
          <c:order val="1"/>
          <c:tx>
            <c:strRef>
              <c:f>Pivot!$P$118:$P$119</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Pivot!$N$120:$N$122</c:f>
              <c:strCache>
                <c:ptCount val="2"/>
                <c:pt idx="0">
                  <c:v>F</c:v>
                </c:pt>
                <c:pt idx="1">
                  <c:v>M</c:v>
                </c:pt>
              </c:strCache>
            </c:strRef>
          </c:cat>
          <c:val>
            <c:numRef>
              <c:f>Pivot!$P$120:$P$122</c:f>
              <c:numCache>
                <c:formatCode>General</c:formatCode>
                <c:ptCount val="2"/>
                <c:pt idx="0">
                  <c:v>239</c:v>
                </c:pt>
                <c:pt idx="1">
                  <c:v>242</c:v>
                </c:pt>
              </c:numCache>
            </c:numRef>
          </c:val>
          <c:extLst>
            <c:ext xmlns:c16="http://schemas.microsoft.com/office/drawing/2014/chart" uri="{C3380CC4-5D6E-409C-BE32-E72D297353CC}">
              <c16:uniqueId val="{00000001-9AA7-4EF7-A5A4-3FEEF1F5B5ED}"/>
            </c:ext>
          </c:extLst>
        </c:ser>
        <c:dLbls>
          <c:dLblPos val="ctr"/>
          <c:showLegendKey val="0"/>
          <c:showVal val="1"/>
          <c:showCatName val="0"/>
          <c:showSerName val="0"/>
          <c:showPercent val="0"/>
          <c:showBubbleSize val="0"/>
        </c:dLbls>
        <c:gapWidth val="150"/>
        <c:overlap val="100"/>
        <c:axId val="1518297232"/>
        <c:axId val="1518317872"/>
      </c:barChart>
      <c:catAx>
        <c:axId val="15182972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18317872"/>
        <c:crosses val="autoZero"/>
        <c:auto val="1"/>
        <c:lblAlgn val="ctr"/>
        <c:lblOffset val="100"/>
        <c:noMultiLvlLbl val="0"/>
      </c:catAx>
      <c:valAx>
        <c:axId val="15183178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18297232"/>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[Bike_Sales_Dashboard.xlsx]Pivot!PivotTable2</c:name>
    <c:fmtId val="9"/>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Pivot!$B$11:$B$12</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Pivot!$A$13:$A$16</c:f>
              <c:strCache>
                <c:ptCount val="3"/>
                <c:pt idx="0">
                  <c:v>Middle Age</c:v>
                </c:pt>
                <c:pt idx="1">
                  <c:v>Old Age</c:v>
                </c:pt>
                <c:pt idx="2">
                  <c:v>Young Age</c:v>
                </c:pt>
              </c:strCache>
            </c:strRef>
          </c:cat>
          <c:val>
            <c:numRef>
              <c:f>Pivot!$B$13:$B$16</c:f>
              <c:numCache>
                <c:formatCode>General</c:formatCode>
                <c:ptCount val="3"/>
                <c:pt idx="0">
                  <c:v>282</c:v>
                </c:pt>
                <c:pt idx="1">
                  <c:v>166</c:v>
                </c:pt>
                <c:pt idx="2">
                  <c:v>71</c:v>
                </c:pt>
              </c:numCache>
            </c:numRef>
          </c:val>
          <c:extLst>
            <c:ext xmlns:c16="http://schemas.microsoft.com/office/drawing/2014/chart" uri="{C3380CC4-5D6E-409C-BE32-E72D297353CC}">
              <c16:uniqueId val="{00000000-49FE-4DF8-B82A-AE78FDE1CF63}"/>
            </c:ext>
          </c:extLst>
        </c:ser>
        <c:ser>
          <c:idx val="1"/>
          <c:order val="1"/>
          <c:tx>
            <c:strRef>
              <c:f>Pivot!$C$11:$C$12</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Pivot!$A$13:$A$16</c:f>
              <c:strCache>
                <c:ptCount val="3"/>
                <c:pt idx="0">
                  <c:v>Middle Age</c:v>
                </c:pt>
                <c:pt idx="1">
                  <c:v>Old Age</c:v>
                </c:pt>
                <c:pt idx="2">
                  <c:v>Young Age</c:v>
                </c:pt>
              </c:strCache>
            </c:strRef>
          </c:cat>
          <c:val>
            <c:numRef>
              <c:f>Pivot!$C$13:$C$16</c:f>
              <c:numCache>
                <c:formatCode>General</c:formatCode>
                <c:ptCount val="3"/>
                <c:pt idx="0">
                  <c:v>332</c:v>
                </c:pt>
                <c:pt idx="1">
                  <c:v>110</c:v>
                </c:pt>
                <c:pt idx="2">
                  <c:v>39</c:v>
                </c:pt>
              </c:numCache>
            </c:numRef>
          </c:val>
          <c:extLst>
            <c:ext xmlns:c16="http://schemas.microsoft.com/office/drawing/2014/chart" uri="{C3380CC4-5D6E-409C-BE32-E72D297353CC}">
              <c16:uniqueId val="{00000000-7B3D-4DE0-BC2D-D470FEF8275D}"/>
            </c:ext>
          </c:extLst>
        </c:ser>
        <c:dLbls>
          <c:dLblPos val="inEnd"/>
          <c:showLegendKey val="0"/>
          <c:showVal val="1"/>
          <c:showCatName val="0"/>
          <c:showSerName val="0"/>
          <c:showPercent val="0"/>
          <c:showBubbleSize val="0"/>
        </c:dLbls>
        <c:gapWidth val="65"/>
        <c:axId val="1819020399"/>
        <c:axId val="1819023279"/>
      </c:barChart>
      <c:catAx>
        <c:axId val="18190203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19023279"/>
        <c:crosses val="autoZero"/>
        <c:auto val="1"/>
        <c:lblAlgn val="ctr"/>
        <c:lblOffset val="100"/>
        <c:noMultiLvlLbl val="0"/>
      </c:catAx>
      <c:valAx>
        <c:axId val="181902327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19020399"/>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[Bike_Sales_Dashboard.xlsx]Pivot!PivotTable12</c:name>
    <c:fmtId val="7"/>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6166"/>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Georgia" panose="020405020504050203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Georgia" panose="020405020504050203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Georgia" panose="020405020504050203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Pivot!$H$11:$H$12</c:f>
              <c:strCache>
                <c:ptCount val="1"/>
                <c:pt idx="0">
                  <c:v>No</c:v>
                </c:pt>
              </c:strCache>
            </c:strRef>
          </c:tx>
          <c:spPr>
            <a:solidFill>
              <a:srgbClr val="006166"/>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Georgia" panose="02040502050405020303" pitchFamily="18"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Pivot!$G$13:$G$15</c:f>
              <c:strCache>
                <c:ptCount val="2"/>
                <c:pt idx="0">
                  <c:v>Female</c:v>
                </c:pt>
                <c:pt idx="1">
                  <c:v>Male</c:v>
                </c:pt>
              </c:strCache>
            </c:strRef>
          </c:cat>
          <c:val>
            <c:numRef>
              <c:f>Pivot!$H$13:$H$15</c:f>
              <c:numCache>
                <c:formatCode>General</c:formatCode>
                <c:ptCount val="2"/>
                <c:pt idx="0">
                  <c:v>250</c:v>
                </c:pt>
                <c:pt idx="1">
                  <c:v>269</c:v>
                </c:pt>
              </c:numCache>
            </c:numRef>
          </c:val>
          <c:extLst>
            <c:ext xmlns:c16="http://schemas.microsoft.com/office/drawing/2014/chart" uri="{C3380CC4-5D6E-409C-BE32-E72D297353CC}">
              <c16:uniqueId val="{00000000-72DD-4D1A-9090-C7466CA0BFBF}"/>
            </c:ext>
          </c:extLst>
        </c:ser>
        <c:ser>
          <c:idx val="1"/>
          <c:order val="1"/>
          <c:tx>
            <c:strRef>
              <c:f>Pivot!$I$11:$I$12</c:f>
              <c:strCache>
                <c:ptCount val="1"/>
                <c:pt idx="0">
                  <c:v>Yes</c:v>
                </c:pt>
              </c:strCache>
            </c:strRef>
          </c:tx>
          <c:spPr>
            <a:solidFill>
              <a:srgbClr val="FFC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Georgia" panose="02040502050405020303" pitchFamily="18"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Pivot!$G$13:$G$15</c:f>
              <c:strCache>
                <c:ptCount val="2"/>
                <c:pt idx="0">
                  <c:v>Female</c:v>
                </c:pt>
                <c:pt idx="1">
                  <c:v>Male</c:v>
                </c:pt>
              </c:strCache>
            </c:strRef>
          </c:cat>
          <c:val>
            <c:numRef>
              <c:f>Pivot!$I$13:$I$15</c:f>
              <c:numCache>
                <c:formatCode>General</c:formatCode>
                <c:ptCount val="2"/>
                <c:pt idx="0">
                  <c:v>239</c:v>
                </c:pt>
                <c:pt idx="1">
                  <c:v>242</c:v>
                </c:pt>
              </c:numCache>
            </c:numRef>
          </c:val>
          <c:extLst>
            <c:ext xmlns:c16="http://schemas.microsoft.com/office/drawing/2014/chart" uri="{C3380CC4-5D6E-409C-BE32-E72D297353CC}">
              <c16:uniqueId val="{00000001-CC2B-4F49-9017-7B6EAD311520}"/>
            </c:ext>
          </c:extLst>
        </c:ser>
        <c:dLbls>
          <c:dLblPos val="inEnd"/>
          <c:showLegendKey val="0"/>
          <c:showVal val="1"/>
          <c:showCatName val="0"/>
          <c:showSerName val="0"/>
          <c:showPercent val="0"/>
          <c:showBubbleSize val="0"/>
        </c:dLbls>
        <c:gapWidth val="65"/>
        <c:axId val="1596815807"/>
        <c:axId val="1596808127"/>
      </c:barChart>
      <c:valAx>
        <c:axId val="1596808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Georgia" panose="02040502050405020303" pitchFamily="18" charset="0"/>
                <a:ea typeface="+mn-ea"/>
                <a:cs typeface="+mn-cs"/>
              </a:defRPr>
            </a:pPr>
            <a:endParaRPr lang="en-US"/>
          </a:p>
        </c:txPr>
        <c:crossAx val="1596815807"/>
        <c:crosses val="autoZero"/>
        <c:crossBetween val="between"/>
      </c:valAx>
      <c:catAx>
        <c:axId val="159681580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Georgia" panose="02040502050405020303" pitchFamily="18" charset="0"/>
                <a:ea typeface="+mn-ea"/>
                <a:cs typeface="+mn-cs"/>
              </a:defRPr>
            </a:pPr>
            <a:endParaRPr lang="en-US"/>
          </a:p>
        </c:txPr>
        <c:crossAx val="1596808127"/>
        <c:crosses val="autoZero"/>
        <c:auto val="1"/>
        <c:lblAlgn val="ctr"/>
        <c:lblOffset val="100"/>
        <c:noMultiLvlLbl val="0"/>
      </c:cat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Georgia" panose="020405020504050203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Georgia" panose="020405020504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[Bike_Sales_Dashboard.xlsx]Pivot!PivotTable14</c:name>
    <c:fmtId val="5"/>
  </c:pivotSource>
  <c:chart>
    <c:autoTitleDeleted val="1"/>
    <c:pivotFmts>
      <c:pivotFmt>
        <c:idx val="0"/>
        <c:spPr>
          <a:solidFill>
            <a:schemeClr val="accent1">
              <a:alpha val="85000"/>
            </a:schemeClr>
          </a:solidFill>
          <a:ln>
            <a:noFill/>
          </a:ln>
          <a:effectLst>
            <a:innerShdw dist="12700" dir="16200000">
              <a:schemeClr val="lt1"/>
            </a:innerShdw>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a:noFill/>
          </a:ln>
          <a:effectLst>
            <a:innerShdw dist="12700" dir="16200000">
              <a:schemeClr val="lt1"/>
            </a:innerShdw>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a:noFill/>
          </a:ln>
          <a:effectLst>
            <a:innerShdw dist="12700" dir="16200000">
              <a:schemeClr val="lt1"/>
            </a:innerShdw>
          </a:effectLst>
        </c:spPr>
        <c:dLbl>
          <c:idx val="0"/>
          <c:layout>
            <c:manualLayout>
              <c:x val="-1.6666666666666614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a:noFill/>
          </a:ln>
          <a:effectLst>
            <a:innerShdw dist="12700" dir="16200000">
              <a:schemeClr val="lt1"/>
            </a:innerShdw>
          </a:effectLst>
        </c:spPr>
        <c:dLbl>
          <c:idx val="0"/>
          <c:layout>
            <c:manualLayout>
              <c:x val="4.1666666666666664E-2"/>
              <c:y val="-4.62962962962979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a:noFill/>
          </a:ln>
          <a:effectLst>
            <a:innerShdw dist="12700" dir="16200000">
              <a:schemeClr val="lt1"/>
            </a:innerShdw>
          </a:effectLst>
        </c:spPr>
        <c:dLbl>
          <c:idx val="0"/>
          <c:layout>
            <c:manualLayout>
              <c:x val="4.1666666666666664E-2"/>
              <c:y val="-4.62962962962979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alpha val="85000"/>
            </a:schemeClr>
          </a:solidFill>
          <a:ln>
            <a:noFill/>
          </a:ln>
          <a:effectLst>
            <a:innerShdw dist="12700" dir="16200000">
              <a:schemeClr val="lt1"/>
            </a:innerShdw>
          </a:effectLst>
        </c:spPr>
        <c:dLbl>
          <c:idx val="0"/>
          <c:layout>
            <c:manualLayout>
              <c:x val="-1.6666666666666614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6166"/>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6166"/>
          </a:solidFill>
          <a:ln>
            <a:noFill/>
          </a:ln>
          <a:effectLst>
            <a:innerShdw dist="12700" dir="16200000">
              <a:schemeClr val="lt1"/>
            </a:innerShdw>
          </a:effectLst>
        </c:spPr>
        <c:dLbl>
          <c:idx val="0"/>
          <c:layout>
            <c:manualLayout>
              <c:x val="0.15740491419852959"/>
              <c:y val="3.0035510185959569E-2"/>
            </c:manualLayout>
          </c:layout>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solidFill>
          <a:ln w="25400">
            <a:noFill/>
          </a:ln>
          <a:effectLst>
            <a:innerShdw dist="12700" dir="16200000">
              <a:schemeClr val="lt1"/>
            </a:innerShdw>
          </a:effectLst>
        </c:spPr>
        <c:dLbl>
          <c:idx val="0"/>
          <c:layout>
            <c:manualLayout>
              <c:x val="5.6585938507264177E-2"/>
              <c:y val="-6.4814604418227353E-2"/>
            </c:manualLayout>
          </c:layout>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4.1666666666666664E-2"/>
              <c:y val="-4.62962962962979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1.6666666666666614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6166"/>
          </a:solidFill>
          <a:ln>
            <a:noFill/>
          </a:ln>
          <a:effectLst>
            <a:innerShdw dist="12700" dir="16200000">
              <a:schemeClr val="lt1"/>
            </a:innerShdw>
          </a:effectLst>
        </c:spPr>
        <c:dLbl>
          <c:idx val="0"/>
          <c:layout>
            <c:manualLayout>
              <c:x val="8.1870432322025802E-2"/>
              <c:y val="-4.0401194312020883E-2"/>
            </c:manualLayout>
          </c:layout>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C000"/>
          </a:solidFill>
          <a:ln w="25400">
            <a:noFill/>
          </a:ln>
          <a:effectLst>
            <a:innerShdw dist="12700" dir="16200000">
              <a:schemeClr val="lt1"/>
            </a:innerShdw>
          </a:effectLst>
        </c:spPr>
        <c:dLbl>
          <c:idx val="0"/>
          <c:layout>
            <c:manualLayout>
              <c:x val="5.6016611588754608E-2"/>
              <c:y val="-4.0401194312020862E-2"/>
            </c:manualLayout>
          </c:layout>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06166"/>
          </a:solidFill>
          <a:ln>
            <a:noFill/>
          </a:ln>
          <a:effectLst>
            <a:innerShdw dist="12700" dir="16200000">
              <a:schemeClr val="lt1"/>
            </a:innerShdw>
          </a:effectLst>
        </c:spPr>
        <c:dLbl>
          <c:idx val="0"/>
          <c:layout>
            <c:manualLayout>
              <c:x val="0.15081408703379245"/>
              <c:y val="9.0484357862850473E-2"/>
            </c:manualLayout>
          </c:layout>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C000"/>
          </a:solidFill>
          <a:ln w="25400">
            <a:noFill/>
          </a:ln>
          <a:effectLst>
            <a:innerShdw dist="12700" dir="16200000">
              <a:schemeClr val="lt1"/>
            </a:innerShdw>
          </a:effectLst>
        </c:spPr>
        <c:dLbl>
          <c:idx val="0"/>
          <c:layout>
            <c:manualLayout>
              <c:x val="0"/>
              <c:y val="-5.7715991874315475E-2"/>
            </c:manualLayout>
          </c:layout>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Pivot!$B$36:$B$37</c:f>
              <c:strCache>
                <c:ptCount val="1"/>
                <c:pt idx="0">
                  <c:v>No</c:v>
                </c:pt>
              </c:strCache>
            </c:strRef>
          </c:tx>
          <c:spPr>
            <a:solidFill>
              <a:srgbClr val="006166"/>
            </a:solidFill>
            <a:ln>
              <a:noFill/>
            </a:ln>
            <a:effectLst>
              <a:innerShdw dist="12700" dir="16200000">
                <a:schemeClr val="lt1"/>
              </a:innerShdw>
            </a:effectLst>
          </c:spPr>
          <c:dPt>
            <c:idx val="0"/>
            <c:bubble3D val="0"/>
            <c:extLst>
              <c:ext xmlns:c16="http://schemas.microsoft.com/office/drawing/2014/chart" uri="{C3380CC4-5D6E-409C-BE32-E72D297353CC}">
                <c16:uniqueId val="{00000001-CA22-44D3-9EAE-C37B1B08FFD8}"/>
              </c:ext>
            </c:extLst>
          </c:dPt>
          <c:dPt>
            <c:idx val="1"/>
            <c:bubble3D val="0"/>
            <c:extLst>
              <c:ext xmlns:c16="http://schemas.microsoft.com/office/drawing/2014/chart" uri="{C3380CC4-5D6E-409C-BE32-E72D297353CC}">
                <c16:uniqueId val="{00000000-C750-45E3-8794-40C1BCE18029}"/>
              </c:ext>
            </c:extLst>
          </c:dPt>
          <c:dPt>
            <c:idx val="2"/>
            <c:bubble3D val="0"/>
            <c:extLst>
              <c:ext xmlns:c16="http://schemas.microsoft.com/office/drawing/2014/chart" uri="{C3380CC4-5D6E-409C-BE32-E72D297353CC}">
                <c16:uniqueId val="{00000003-CA22-44D3-9EAE-C37B1B08FFD8}"/>
              </c:ext>
            </c:extLst>
          </c:dPt>
          <c:dLbls>
            <c:dLbl>
              <c:idx val="0"/>
              <c:layout>
                <c:manualLayout>
                  <c:x val="0.15081408703379245"/>
                  <c:y val="9.04843578628504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A22-44D3-9EAE-C37B1B08FFD8}"/>
                </c:ext>
              </c:extLst>
            </c:dLbl>
            <c:dLbl>
              <c:idx val="1"/>
              <c:layout>
                <c:manualLayout>
                  <c:x val="0.15740491419852959"/>
                  <c:y val="3.00355101859595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750-45E3-8794-40C1BCE18029}"/>
                </c:ext>
              </c:extLst>
            </c:dLbl>
            <c:dLbl>
              <c:idx val="2"/>
              <c:layout>
                <c:manualLayout>
                  <c:x val="8.1870432322025802E-2"/>
                  <c:y val="-4.04011943120208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A22-44D3-9EAE-C37B1B08FFD8}"/>
                </c:ext>
              </c:extLst>
            </c:dLbl>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Pivot!$A$38:$A$41</c:f>
              <c:strCache>
                <c:ptCount val="3"/>
                <c:pt idx="0">
                  <c:v>Average Income</c:v>
                </c:pt>
                <c:pt idx="1">
                  <c:v>High Income</c:v>
                </c:pt>
                <c:pt idx="2">
                  <c:v>Low Income</c:v>
                </c:pt>
              </c:strCache>
            </c:strRef>
          </c:cat>
          <c:val>
            <c:numRef>
              <c:f>Pivot!$B$38:$B$41</c:f>
              <c:numCache>
                <c:formatCode>General</c:formatCode>
                <c:ptCount val="3"/>
                <c:pt idx="0">
                  <c:v>104</c:v>
                </c:pt>
                <c:pt idx="1">
                  <c:v>20</c:v>
                </c:pt>
                <c:pt idx="2">
                  <c:v>395</c:v>
                </c:pt>
              </c:numCache>
            </c:numRef>
          </c:val>
          <c:extLst>
            <c:ext xmlns:c16="http://schemas.microsoft.com/office/drawing/2014/chart" uri="{C3380CC4-5D6E-409C-BE32-E72D297353CC}">
              <c16:uniqueId val="{00000001-C750-45E3-8794-40C1BCE18029}"/>
            </c:ext>
          </c:extLst>
        </c:ser>
        <c:ser>
          <c:idx val="1"/>
          <c:order val="1"/>
          <c:tx>
            <c:strRef>
              <c:f>Pivot!$C$36:$C$37</c:f>
              <c:strCache>
                <c:ptCount val="1"/>
                <c:pt idx="0">
                  <c:v>Yes</c:v>
                </c:pt>
              </c:strCache>
            </c:strRef>
          </c:tx>
          <c:spPr>
            <a:solidFill>
              <a:srgbClr val="FFC000"/>
            </a:solidFill>
            <a:ln w="25400">
              <a:noFill/>
            </a:ln>
            <a:effectLst>
              <a:innerShdw dist="12700" dir="16200000">
                <a:schemeClr val="lt1"/>
              </a:innerShdw>
            </a:effectLst>
          </c:spPr>
          <c:dPt>
            <c:idx val="0"/>
            <c:bubble3D val="0"/>
            <c:spPr>
              <a:solidFill>
                <a:srgbClr val="FFC000"/>
              </a:solidFill>
              <a:ln w="25400">
                <a:noFill/>
              </a:ln>
              <a:effectLst>
                <a:innerShdw dist="12700" dir="16200000">
                  <a:schemeClr val="lt1"/>
                </a:innerShdw>
              </a:effectLst>
            </c:spPr>
            <c:extLst>
              <c:ext xmlns:c16="http://schemas.microsoft.com/office/drawing/2014/chart" uri="{C3380CC4-5D6E-409C-BE32-E72D297353CC}">
                <c16:uniqueId val="{00000004-6764-42AE-B1C0-26D5CB692A17}"/>
              </c:ext>
            </c:extLst>
          </c:dPt>
          <c:dPt>
            <c:idx val="1"/>
            <c:bubble3D val="0"/>
            <c:spPr>
              <a:solidFill>
                <a:srgbClr val="FFC000"/>
              </a:solidFill>
              <a:ln w="25400">
                <a:noFill/>
              </a:ln>
              <a:effectLst>
                <a:innerShdw dist="12700" dir="16200000">
                  <a:schemeClr val="lt1"/>
                </a:innerShdw>
              </a:effectLst>
            </c:spPr>
            <c:extLst>
              <c:ext xmlns:c16="http://schemas.microsoft.com/office/drawing/2014/chart" uri="{C3380CC4-5D6E-409C-BE32-E72D297353CC}">
                <c16:uniqueId val="{00000006-6764-42AE-B1C0-26D5CB692A17}"/>
              </c:ext>
            </c:extLst>
          </c:dPt>
          <c:dPt>
            <c:idx val="2"/>
            <c:bubble3D val="0"/>
            <c:spPr>
              <a:solidFill>
                <a:srgbClr val="FFC000"/>
              </a:solidFill>
              <a:ln w="25400">
                <a:noFill/>
              </a:ln>
              <a:effectLst>
                <a:innerShdw dist="12700" dir="16200000">
                  <a:schemeClr val="lt1"/>
                </a:innerShdw>
              </a:effectLst>
            </c:spPr>
            <c:extLst>
              <c:ext xmlns:c16="http://schemas.microsoft.com/office/drawing/2014/chart" uri="{C3380CC4-5D6E-409C-BE32-E72D297353CC}">
                <c16:uniqueId val="{00000008-6764-42AE-B1C0-26D5CB692A17}"/>
              </c:ext>
            </c:extLst>
          </c:dPt>
          <c:dLbls>
            <c:dLbl>
              <c:idx val="0"/>
              <c:layout>
                <c:manualLayout>
                  <c:x val="0"/>
                  <c:y val="-5.77159918743154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764-42AE-B1C0-26D5CB692A17}"/>
                </c:ext>
              </c:extLst>
            </c:dLbl>
            <c:dLbl>
              <c:idx val="1"/>
              <c:layout>
                <c:manualLayout>
                  <c:x val="5.6585938507264177E-2"/>
                  <c:y val="-6.48146044182273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764-42AE-B1C0-26D5CB692A17}"/>
                </c:ext>
              </c:extLst>
            </c:dLbl>
            <c:dLbl>
              <c:idx val="2"/>
              <c:layout>
                <c:manualLayout>
                  <c:x val="5.6016611588754608E-2"/>
                  <c:y val="-4.04011943120208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764-42AE-B1C0-26D5CB692A17}"/>
                </c:ext>
              </c:extLst>
            </c:dLbl>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Pivot!$A$38:$A$41</c:f>
              <c:strCache>
                <c:ptCount val="3"/>
                <c:pt idx="0">
                  <c:v>Average Income</c:v>
                </c:pt>
                <c:pt idx="1">
                  <c:v>High Income</c:v>
                </c:pt>
                <c:pt idx="2">
                  <c:v>Low Income</c:v>
                </c:pt>
              </c:strCache>
            </c:strRef>
          </c:cat>
          <c:val>
            <c:numRef>
              <c:f>Pivot!$C$38:$C$41</c:f>
              <c:numCache>
                <c:formatCode>General</c:formatCode>
                <c:ptCount val="3"/>
                <c:pt idx="0">
                  <c:v>89</c:v>
                </c:pt>
                <c:pt idx="1">
                  <c:v>22</c:v>
                </c:pt>
                <c:pt idx="2">
                  <c:v>370</c:v>
                </c:pt>
              </c:numCache>
            </c:numRef>
          </c:val>
          <c:extLst>
            <c:ext xmlns:c16="http://schemas.microsoft.com/office/drawing/2014/chart" uri="{C3380CC4-5D6E-409C-BE32-E72D297353CC}">
              <c16:uniqueId val="{0000000A-42E7-4D36-B807-83B2BAD90629}"/>
            </c:ext>
          </c:extLst>
        </c:ser>
        <c:dLbls>
          <c:showLegendKey val="0"/>
          <c:showVal val="1"/>
          <c:showCatName val="0"/>
          <c:showSerName val="0"/>
          <c:showPercent val="0"/>
          <c:showBubbleSize val="0"/>
        </c:dLbls>
        <c:axId val="1505384128"/>
        <c:axId val="1505388448"/>
      </c:areaChart>
      <c:catAx>
        <c:axId val="15053841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Georgia" panose="02040502050405020303" pitchFamily="18" charset="0"/>
                <a:ea typeface="+mn-ea"/>
                <a:cs typeface="+mn-cs"/>
              </a:defRPr>
            </a:pPr>
            <a:endParaRPr lang="en-US"/>
          </a:p>
        </c:txPr>
        <c:crossAx val="1505388448"/>
        <c:crosses val="autoZero"/>
        <c:auto val="1"/>
        <c:lblAlgn val="ctr"/>
        <c:lblOffset val="100"/>
        <c:noMultiLvlLbl val="0"/>
      </c:catAx>
      <c:valAx>
        <c:axId val="150538844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Georgia" panose="02040502050405020303" pitchFamily="18" charset="0"/>
                <a:ea typeface="+mn-ea"/>
                <a:cs typeface="+mn-cs"/>
              </a:defRPr>
            </a:pPr>
            <a:endParaRPr lang="en-US"/>
          </a:p>
        </c:txPr>
        <c:crossAx val="1505384128"/>
        <c:crosses val="autoZero"/>
        <c:crossBetween val="midCat"/>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Georgia" panose="02040502050405020303" pitchFamily="18" charset="0"/>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Georgia" panose="020405020504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[Bike_Sales_Dashboard.xlsx]Pivot!PivotTable15</c:name>
    <c:fmtId val="7"/>
  </c:pivotSource>
  <c:chart>
    <c:autoTitleDeleted val="1"/>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rgbClr val="006166"/>
            </a:solidFill>
            <a:round/>
          </a:ln>
          <a:effectLst/>
        </c:spPr>
        <c:marker>
          <c:symbol val="circle"/>
          <c:size val="17"/>
          <c:spPr>
            <a:solidFill>
              <a:srgbClr val="006166"/>
            </a:solidFill>
            <a:ln>
              <a:noFill/>
            </a:ln>
            <a:effectLst/>
          </c:spPr>
        </c:marker>
        <c:dLbl>
          <c:idx val="0"/>
          <c:spPr>
            <a:noFill/>
            <a:ln>
              <a:noFill/>
            </a:ln>
            <a:effectLst/>
          </c:spPr>
          <c:txPr>
            <a:bodyPr rot="0" spcFirstLastPara="1" vertOverflow="ellipsis" vert="horz" wrap="square" anchor="ctr" anchorCtr="1"/>
            <a:lstStyle/>
            <a:p>
              <a:pPr>
                <a:defRPr sz="700" b="1" i="0" u="none" strike="noStrike" kern="1200" baseline="0">
                  <a:solidFill>
                    <a:schemeClr val="lt1"/>
                  </a:solidFill>
                  <a:latin typeface="Georgia" panose="020405020504050203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rgbClr val="FFC000"/>
            </a:solidFill>
            <a:round/>
          </a:ln>
          <a:effectLst/>
        </c:spPr>
        <c:marker>
          <c:symbol val="circle"/>
          <c:size val="17"/>
          <c:spPr>
            <a:solidFill>
              <a:srgbClr val="FFC000"/>
            </a:solidFill>
            <a:ln>
              <a:noFill/>
            </a:ln>
            <a:effectLst/>
          </c:spPr>
        </c:marker>
        <c:dLbl>
          <c:idx val="0"/>
          <c:spPr>
            <a:noFill/>
            <a:ln>
              <a:noFill/>
            </a:ln>
            <a:effectLst/>
          </c:spPr>
          <c:txPr>
            <a:bodyPr rot="0" spcFirstLastPara="1" vertOverflow="ellipsis" vert="horz" wrap="square" anchor="ctr" anchorCtr="1"/>
            <a:lstStyle/>
            <a:p>
              <a:pPr>
                <a:defRPr sz="700" b="1" i="0" u="none" strike="noStrike" kern="1200" baseline="0">
                  <a:solidFill>
                    <a:schemeClr val="lt1"/>
                  </a:solidFill>
                  <a:latin typeface="Georgia" panose="020405020504050203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Georgia" panose="020405020504050203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Pivot!$H$36:$H$37</c:f>
              <c:strCache>
                <c:ptCount val="1"/>
                <c:pt idx="0">
                  <c:v>No</c:v>
                </c:pt>
              </c:strCache>
            </c:strRef>
          </c:tx>
          <c:spPr>
            <a:ln w="31750" cap="rnd">
              <a:solidFill>
                <a:srgbClr val="006166"/>
              </a:solidFill>
              <a:round/>
            </a:ln>
            <a:effectLst/>
          </c:spPr>
          <c:marker>
            <c:symbol val="circle"/>
            <c:size val="17"/>
            <c:spPr>
              <a:solidFill>
                <a:srgbClr val="006166"/>
              </a:solidFill>
              <a:ln>
                <a:noFill/>
              </a:ln>
              <a:effectLst/>
            </c:spPr>
          </c:marker>
          <c:dLbls>
            <c:spPr>
              <a:noFill/>
              <a:ln>
                <a:noFill/>
              </a:ln>
              <a:effectLst/>
            </c:spPr>
            <c:txPr>
              <a:bodyPr rot="0" spcFirstLastPara="1" vertOverflow="ellipsis" vert="horz" wrap="square" anchor="ctr" anchorCtr="1"/>
              <a:lstStyle/>
              <a:p>
                <a:pPr>
                  <a:defRPr sz="700" b="1" i="0" u="none" strike="noStrike" kern="1200" baseline="0">
                    <a:solidFill>
                      <a:schemeClr val="lt1"/>
                    </a:solidFill>
                    <a:latin typeface="Georgia" panose="02040502050405020303"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Pivot!$G$38:$G$43</c:f>
              <c:strCache>
                <c:ptCount val="5"/>
                <c:pt idx="0">
                  <c:v>Bachelors</c:v>
                </c:pt>
                <c:pt idx="1">
                  <c:v>Graduate Degree</c:v>
                </c:pt>
                <c:pt idx="2">
                  <c:v>High School</c:v>
                </c:pt>
                <c:pt idx="3">
                  <c:v>Partial College</c:v>
                </c:pt>
                <c:pt idx="4">
                  <c:v>Partial High School</c:v>
                </c:pt>
              </c:strCache>
            </c:strRef>
          </c:cat>
          <c:val>
            <c:numRef>
              <c:f>Pivot!$H$38:$H$43</c:f>
              <c:numCache>
                <c:formatCode>General</c:formatCode>
                <c:ptCount val="5"/>
                <c:pt idx="0">
                  <c:v>137</c:v>
                </c:pt>
                <c:pt idx="1">
                  <c:v>80</c:v>
                </c:pt>
                <c:pt idx="2">
                  <c:v>100</c:v>
                </c:pt>
                <c:pt idx="3">
                  <c:v>146</c:v>
                </c:pt>
                <c:pt idx="4">
                  <c:v>56</c:v>
                </c:pt>
              </c:numCache>
            </c:numRef>
          </c:val>
          <c:smooth val="0"/>
          <c:extLst>
            <c:ext xmlns:c16="http://schemas.microsoft.com/office/drawing/2014/chart" uri="{C3380CC4-5D6E-409C-BE32-E72D297353CC}">
              <c16:uniqueId val="{00000000-2151-4132-A7F3-B2D6AA6464CB}"/>
            </c:ext>
          </c:extLst>
        </c:ser>
        <c:ser>
          <c:idx val="1"/>
          <c:order val="1"/>
          <c:tx>
            <c:strRef>
              <c:f>Pivot!$I$36:$I$37</c:f>
              <c:strCache>
                <c:ptCount val="1"/>
                <c:pt idx="0">
                  <c:v>Yes</c:v>
                </c:pt>
              </c:strCache>
            </c:strRef>
          </c:tx>
          <c:spPr>
            <a:ln w="31750" cap="rnd">
              <a:solidFill>
                <a:srgbClr val="FFC000"/>
              </a:solidFill>
              <a:round/>
            </a:ln>
            <a:effectLst/>
          </c:spPr>
          <c:marker>
            <c:symbol val="circle"/>
            <c:size val="17"/>
            <c:spPr>
              <a:solidFill>
                <a:srgbClr val="FFC000"/>
              </a:solidFill>
              <a:ln>
                <a:noFill/>
              </a:ln>
              <a:effectLst/>
            </c:spPr>
          </c:marker>
          <c:dLbls>
            <c:spPr>
              <a:noFill/>
              <a:ln>
                <a:noFill/>
              </a:ln>
              <a:effectLst/>
            </c:spPr>
            <c:txPr>
              <a:bodyPr rot="0" spcFirstLastPara="1" vertOverflow="ellipsis" vert="horz" wrap="square" anchor="ctr" anchorCtr="1"/>
              <a:lstStyle/>
              <a:p>
                <a:pPr>
                  <a:defRPr sz="700" b="1" i="0" u="none" strike="noStrike" kern="1200" baseline="0">
                    <a:solidFill>
                      <a:schemeClr val="lt1"/>
                    </a:solidFill>
                    <a:latin typeface="Georgia" panose="02040502050405020303"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Pivot!$G$38:$G$43</c:f>
              <c:strCache>
                <c:ptCount val="5"/>
                <c:pt idx="0">
                  <c:v>Bachelors</c:v>
                </c:pt>
                <c:pt idx="1">
                  <c:v>Graduate Degree</c:v>
                </c:pt>
                <c:pt idx="2">
                  <c:v>High School</c:v>
                </c:pt>
                <c:pt idx="3">
                  <c:v>Partial College</c:v>
                </c:pt>
                <c:pt idx="4">
                  <c:v>Partial High School</c:v>
                </c:pt>
              </c:strCache>
            </c:strRef>
          </c:cat>
          <c:val>
            <c:numRef>
              <c:f>Pivot!$I$38:$I$43</c:f>
              <c:numCache>
                <c:formatCode>General</c:formatCode>
                <c:ptCount val="5"/>
                <c:pt idx="0">
                  <c:v>169</c:v>
                </c:pt>
                <c:pt idx="1">
                  <c:v>94</c:v>
                </c:pt>
                <c:pt idx="2">
                  <c:v>79</c:v>
                </c:pt>
                <c:pt idx="3">
                  <c:v>119</c:v>
                </c:pt>
                <c:pt idx="4">
                  <c:v>20</c:v>
                </c:pt>
              </c:numCache>
            </c:numRef>
          </c:val>
          <c:smooth val="0"/>
          <c:extLst>
            <c:ext xmlns:c16="http://schemas.microsoft.com/office/drawing/2014/chart" uri="{C3380CC4-5D6E-409C-BE32-E72D297353CC}">
              <c16:uniqueId val="{00000001-6DCD-4FE2-828C-93FCB86AFD8D}"/>
            </c:ext>
          </c:extLst>
        </c:ser>
        <c:dLbls>
          <c:dLblPos val="ctr"/>
          <c:showLegendKey val="0"/>
          <c:showVal val="1"/>
          <c:showCatName val="0"/>
          <c:showSerName val="0"/>
          <c:showPercent val="0"/>
          <c:showBubbleSize val="0"/>
        </c:dLbls>
        <c:marker val="1"/>
        <c:smooth val="0"/>
        <c:axId val="1715761599"/>
        <c:axId val="1715771199"/>
      </c:lineChart>
      <c:catAx>
        <c:axId val="17157615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700" b="0" i="0" u="none" strike="noStrike" kern="1200" cap="all" baseline="0">
                <a:solidFill>
                  <a:schemeClr val="dk1">
                    <a:lumMod val="75000"/>
                    <a:lumOff val="25000"/>
                  </a:schemeClr>
                </a:solidFill>
                <a:latin typeface="Georgia" panose="02040502050405020303" pitchFamily="18" charset="0"/>
                <a:ea typeface="+mn-ea"/>
                <a:cs typeface="+mn-cs"/>
              </a:defRPr>
            </a:pPr>
            <a:endParaRPr lang="en-US"/>
          </a:p>
        </c:txPr>
        <c:crossAx val="1715771199"/>
        <c:crosses val="autoZero"/>
        <c:auto val="1"/>
        <c:lblAlgn val="ctr"/>
        <c:lblOffset val="100"/>
        <c:noMultiLvlLbl val="0"/>
      </c:catAx>
      <c:valAx>
        <c:axId val="1715771199"/>
        <c:scaling>
          <c:orientation val="minMax"/>
        </c:scaling>
        <c:delete val="1"/>
        <c:axPos val="l"/>
        <c:numFmt formatCode="General" sourceLinked="1"/>
        <c:majorTickMark val="none"/>
        <c:minorTickMark val="none"/>
        <c:tickLblPos val="nextTo"/>
        <c:crossAx val="1715761599"/>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700" b="0" i="0" u="none" strike="noStrike" kern="1200" baseline="0">
              <a:solidFill>
                <a:schemeClr val="dk1">
                  <a:lumMod val="75000"/>
                  <a:lumOff val="25000"/>
                </a:schemeClr>
              </a:solidFill>
              <a:latin typeface="Georgia" panose="020405020504050203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700">
          <a:latin typeface="Georgia" panose="020405020504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[Bike_Sales_Dashboard.xlsx]Pivot!PivotTable2</c:name>
    <c:fmtId val="11"/>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6166"/>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553088024894247E-2"/>
          <c:y val="3.1144334707295645E-2"/>
          <c:w val="0.9059870818040251"/>
          <c:h val="0.83840794263021823"/>
        </c:manualLayout>
      </c:layout>
      <c:barChart>
        <c:barDir val="col"/>
        <c:grouping val="clustered"/>
        <c:varyColors val="0"/>
        <c:ser>
          <c:idx val="2"/>
          <c:order val="0"/>
          <c:tx>
            <c:strRef>
              <c:f>Pivot!$B$11:$B$12</c:f>
              <c:strCache>
                <c:ptCount val="1"/>
                <c:pt idx="0">
                  <c:v>No</c:v>
                </c:pt>
              </c:strCache>
            </c:strRef>
          </c:tx>
          <c:spPr>
            <a:solidFill>
              <a:srgbClr val="006166"/>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Pivot!$A$13:$A$16</c:f>
              <c:strCache>
                <c:ptCount val="3"/>
                <c:pt idx="0">
                  <c:v>Middle Age</c:v>
                </c:pt>
                <c:pt idx="1">
                  <c:v>Old Age</c:v>
                </c:pt>
                <c:pt idx="2">
                  <c:v>Young Age</c:v>
                </c:pt>
              </c:strCache>
            </c:strRef>
          </c:cat>
          <c:val>
            <c:numRef>
              <c:f>Pivot!$B$13:$B$16</c:f>
              <c:numCache>
                <c:formatCode>General</c:formatCode>
                <c:ptCount val="3"/>
                <c:pt idx="0">
                  <c:v>282</c:v>
                </c:pt>
                <c:pt idx="1">
                  <c:v>166</c:v>
                </c:pt>
                <c:pt idx="2">
                  <c:v>71</c:v>
                </c:pt>
              </c:numCache>
            </c:numRef>
          </c:val>
          <c:extLst>
            <c:ext xmlns:c16="http://schemas.microsoft.com/office/drawing/2014/chart" uri="{C3380CC4-5D6E-409C-BE32-E72D297353CC}">
              <c16:uniqueId val="{00000007-7370-4C4B-9588-6A7E86176059}"/>
            </c:ext>
          </c:extLst>
        </c:ser>
        <c:ser>
          <c:idx val="0"/>
          <c:order val="1"/>
          <c:tx>
            <c:strRef>
              <c:f>Pivot!$C$11:$C$12</c:f>
              <c:strCache>
                <c:ptCount val="1"/>
                <c:pt idx="0">
                  <c:v>Yes</c:v>
                </c:pt>
              </c:strCache>
            </c:strRef>
          </c:tx>
          <c:spPr>
            <a:solidFill>
              <a:srgbClr val="FFC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Pivot!$A$13:$A$16</c:f>
              <c:strCache>
                <c:ptCount val="3"/>
                <c:pt idx="0">
                  <c:v>Middle Age</c:v>
                </c:pt>
                <c:pt idx="1">
                  <c:v>Old Age</c:v>
                </c:pt>
                <c:pt idx="2">
                  <c:v>Young Age</c:v>
                </c:pt>
              </c:strCache>
            </c:strRef>
          </c:cat>
          <c:val>
            <c:numRef>
              <c:f>Pivot!$C$13:$C$16</c:f>
              <c:numCache>
                <c:formatCode>General</c:formatCode>
                <c:ptCount val="3"/>
                <c:pt idx="0">
                  <c:v>332</c:v>
                </c:pt>
                <c:pt idx="1">
                  <c:v>110</c:v>
                </c:pt>
                <c:pt idx="2">
                  <c:v>39</c:v>
                </c:pt>
              </c:numCache>
            </c:numRef>
          </c:val>
          <c:extLst>
            <c:ext xmlns:c16="http://schemas.microsoft.com/office/drawing/2014/chart" uri="{C3380CC4-5D6E-409C-BE32-E72D297353CC}">
              <c16:uniqueId val="{00000001-2F15-4123-8D90-41A1CE0C273E}"/>
            </c:ext>
          </c:extLst>
        </c:ser>
        <c:dLbls>
          <c:dLblPos val="inEnd"/>
          <c:showLegendKey val="0"/>
          <c:showVal val="1"/>
          <c:showCatName val="0"/>
          <c:showSerName val="0"/>
          <c:showPercent val="0"/>
          <c:showBubbleSize val="0"/>
        </c:dLbls>
        <c:gapWidth val="65"/>
        <c:axId val="1819020399"/>
        <c:axId val="1819023279"/>
      </c:barChart>
      <c:catAx>
        <c:axId val="18190203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19023279"/>
        <c:crosses val="autoZero"/>
        <c:auto val="1"/>
        <c:lblAlgn val="ctr"/>
        <c:lblOffset val="100"/>
        <c:noMultiLvlLbl val="0"/>
      </c:catAx>
      <c:valAx>
        <c:axId val="1819023279"/>
        <c:scaling>
          <c:orientation val="minMax"/>
        </c:scaling>
        <c:delete val="1"/>
        <c:axPos val="l"/>
        <c:numFmt formatCode="General" sourceLinked="1"/>
        <c:majorTickMark val="none"/>
        <c:minorTickMark val="none"/>
        <c:tickLblPos val="nextTo"/>
        <c:crossAx val="1819020399"/>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[Bike_Sales_Dashboard.xlsx]Pivot!PivotTable18</c:name>
    <c:fmtId val="8"/>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1.6666666666666614E-2"/>
              <c:y val="2.314814814814814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1.6666666666666614E-2"/>
              <c:y val="2.314814814814814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lt1"/>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50000"/>
            </a:schemeClr>
          </a:solidFill>
          <a:ln>
            <a:noFill/>
          </a:ln>
          <a:effectLst>
            <a:outerShdw blurRad="254000" sx="102000" sy="102000" algn="ctr" rotWithShape="0">
              <a:prstClr val="black">
                <a:alpha val="20000"/>
              </a:prstClr>
            </a:outerShdw>
          </a:effectLst>
        </c:spPr>
        <c:dLbl>
          <c:idx val="0"/>
          <c:layout>
            <c:manualLayout>
              <c:x val="-1.2397920682752859E-2"/>
              <c:y val="-7.210960890572358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lt1"/>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6166"/>
          </a:solidFill>
          <a:ln>
            <a:noFill/>
          </a:ln>
          <a:effectLst>
            <a:outerShdw blurRad="254000" sx="102000" sy="102000" algn="ctr" rotWithShape="0">
              <a:prstClr val="black">
                <a:alpha val="20000"/>
              </a:prstClr>
            </a:outerShdw>
          </a:effectLst>
        </c:spPr>
      </c:pivotFmt>
      <c:pivotFmt>
        <c:idx val="14"/>
        <c:spPr>
          <a:solidFill>
            <a:srgbClr val="FFC000"/>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lt1"/>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50000"/>
            </a:schemeClr>
          </a:solidFill>
          <a:ln>
            <a:noFill/>
          </a:ln>
          <a:effectLst>
            <a:outerShdw blurRad="254000" sx="102000" sy="102000" algn="ctr" rotWithShape="0">
              <a:prstClr val="black">
                <a:alpha val="20000"/>
              </a:prstClr>
            </a:outerShdw>
          </a:effectLst>
        </c:spPr>
        <c:dLbl>
          <c:idx val="0"/>
          <c:layout>
            <c:manualLayout>
              <c:x val="6.4033290588450739E-2"/>
              <c:y val="0"/>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lt1"/>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6166"/>
          </a:solidFill>
          <a:ln>
            <a:noFill/>
          </a:ln>
          <a:effectLst>
            <a:outerShdw blurRad="254000" sx="102000" sy="102000" algn="ctr" rotWithShape="0">
              <a:prstClr val="black">
                <a:alpha val="20000"/>
              </a:prstClr>
            </a:outerShdw>
          </a:effectLst>
        </c:spPr>
      </c:pivotFmt>
      <c:pivotFmt>
        <c:idx val="18"/>
        <c:spPr>
          <a:solidFill>
            <a:srgbClr val="FFC000"/>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Georgia" panose="02040502050405020303" pitchFamily="18"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Pivot!$H$63:$H$64</c:f>
              <c:strCache>
                <c:ptCount val="1"/>
                <c:pt idx="0">
                  <c:v>No</c:v>
                </c:pt>
              </c:strCache>
            </c:strRef>
          </c:tx>
          <c:dPt>
            <c:idx val="0"/>
            <c:bubble3D val="0"/>
            <c:spPr>
              <a:solidFill>
                <a:schemeClr val="accent1">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F55-48B3-89E5-90F8CCC15A73}"/>
              </c:ext>
            </c:extLst>
          </c:dPt>
          <c:dPt>
            <c:idx val="1"/>
            <c:bubble3D val="0"/>
            <c:spPr>
              <a:solidFill>
                <a:srgbClr val="00616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F55-48B3-89E5-90F8CCC15A73}"/>
              </c:ext>
            </c:extLst>
          </c:dPt>
          <c:dPt>
            <c:idx val="2"/>
            <c:bubble3D val="0"/>
            <c:spPr>
              <a:solidFill>
                <a:srgbClr val="FFC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F55-48B3-89E5-90F8CCC15A73}"/>
              </c:ext>
            </c:extLst>
          </c:dPt>
          <c:dLbls>
            <c:dLbl>
              <c:idx val="0"/>
              <c:layout>
                <c:manualLayout>
                  <c:x val="-1.2397920682752859E-2"/>
                  <c:y val="-7.21096089057235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F55-48B3-89E5-90F8CCC15A73}"/>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lt1"/>
                    </a:solidFill>
                    <a:latin typeface="Georgia" panose="02040502050405020303" pitchFamily="18" charset="0"/>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Pivot!$G$65:$G$68</c:f>
              <c:strCache>
                <c:ptCount val="3"/>
                <c:pt idx="0">
                  <c:v>Europe</c:v>
                </c:pt>
                <c:pt idx="1">
                  <c:v>North America</c:v>
                </c:pt>
                <c:pt idx="2">
                  <c:v>Pacific</c:v>
                </c:pt>
              </c:strCache>
            </c:strRef>
          </c:cat>
          <c:val>
            <c:numRef>
              <c:f>Pivot!$H$65:$H$68</c:f>
              <c:numCache>
                <c:formatCode>General</c:formatCode>
                <c:ptCount val="3"/>
                <c:pt idx="0">
                  <c:v>152</c:v>
                </c:pt>
                <c:pt idx="1">
                  <c:v>288</c:v>
                </c:pt>
                <c:pt idx="2">
                  <c:v>79</c:v>
                </c:pt>
              </c:numCache>
            </c:numRef>
          </c:val>
          <c:extLst>
            <c:ext xmlns:c16="http://schemas.microsoft.com/office/drawing/2014/chart" uri="{C3380CC4-5D6E-409C-BE32-E72D297353CC}">
              <c16:uniqueId val="{00000006-6F55-48B3-89E5-90F8CCC15A73}"/>
            </c:ext>
          </c:extLst>
        </c:ser>
        <c:ser>
          <c:idx val="1"/>
          <c:order val="1"/>
          <c:tx>
            <c:strRef>
              <c:f>Pivot!$I$63:$I$64</c:f>
              <c:strCache>
                <c:ptCount val="1"/>
                <c:pt idx="0">
                  <c:v>Yes</c:v>
                </c:pt>
              </c:strCache>
            </c:strRef>
          </c:tx>
          <c:dPt>
            <c:idx val="0"/>
            <c:bubble3D val="0"/>
            <c:spPr>
              <a:solidFill>
                <a:schemeClr val="accent1">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D78-43CF-9900-096129DA2C6C}"/>
              </c:ext>
            </c:extLst>
          </c:dPt>
          <c:dPt>
            <c:idx val="1"/>
            <c:bubble3D val="0"/>
            <c:spPr>
              <a:solidFill>
                <a:srgbClr val="00616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D78-43CF-9900-096129DA2C6C}"/>
              </c:ext>
            </c:extLst>
          </c:dPt>
          <c:dPt>
            <c:idx val="2"/>
            <c:bubble3D val="0"/>
            <c:spPr>
              <a:solidFill>
                <a:srgbClr val="FFC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6D78-43CF-9900-096129DA2C6C}"/>
              </c:ext>
            </c:extLst>
          </c:dPt>
          <c:dLbls>
            <c:dLbl>
              <c:idx val="0"/>
              <c:layout>
                <c:manualLayout>
                  <c:x val="6.40332905884507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D78-43CF-9900-096129DA2C6C}"/>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lt1"/>
                    </a:solidFill>
                    <a:latin typeface="Georgia" panose="02040502050405020303" pitchFamily="18" charset="0"/>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Pivot!$G$65:$G$68</c:f>
              <c:strCache>
                <c:ptCount val="3"/>
                <c:pt idx="0">
                  <c:v>Europe</c:v>
                </c:pt>
                <c:pt idx="1">
                  <c:v>North America</c:v>
                </c:pt>
                <c:pt idx="2">
                  <c:v>Pacific</c:v>
                </c:pt>
              </c:strCache>
            </c:strRef>
          </c:cat>
          <c:val>
            <c:numRef>
              <c:f>Pivot!$I$65:$I$68</c:f>
              <c:numCache>
                <c:formatCode>General</c:formatCode>
                <c:ptCount val="3"/>
                <c:pt idx="0">
                  <c:v>148</c:v>
                </c:pt>
                <c:pt idx="1">
                  <c:v>220</c:v>
                </c:pt>
                <c:pt idx="2">
                  <c:v>113</c:v>
                </c:pt>
              </c:numCache>
            </c:numRef>
          </c:val>
          <c:extLst>
            <c:ext xmlns:c16="http://schemas.microsoft.com/office/drawing/2014/chart" uri="{C3380CC4-5D6E-409C-BE32-E72D297353CC}">
              <c16:uniqueId val="{0000000D-C208-4020-A623-A2023BFD4B8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Georgia" panose="020405020504050203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Georgia" panose="020405020504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9.png"/><Relationship Id="rId3" Type="http://schemas.openxmlformats.org/officeDocument/2006/relationships/chart" Target="../charts/chart15.xml"/><Relationship Id="rId7" Type="http://schemas.openxmlformats.org/officeDocument/2006/relationships/image" Target="../media/image4.svg"/><Relationship Id="rId12" Type="http://schemas.openxmlformats.org/officeDocument/2006/relationships/image" Target="../media/image8.svg"/><Relationship Id="rId17" Type="http://schemas.openxmlformats.org/officeDocument/2006/relationships/chart" Target="../charts/chart17.xml"/><Relationship Id="rId2" Type="http://schemas.openxmlformats.org/officeDocument/2006/relationships/chart" Target="../charts/chart14.xml"/><Relationship Id="rId16" Type="http://schemas.openxmlformats.org/officeDocument/2006/relationships/image" Target="../media/image12.svg"/><Relationship Id="rId1" Type="http://schemas.openxmlformats.org/officeDocument/2006/relationships/chart" Target="../charts/chart13.xml"/><Relationship Id="rId6" Type="http://schemas.openxmlformats.org/officeDocument/2006/relationships/image" Target="../media/image3.png"/><Relationship Id="rId11" Type="http://schemas.openxmlformats.org/officeDocument/2006/relationships/image" Target="../media/image7.png"/><Relationship Id="rId5" Type="http://schemas.openxmlformats.org/officeDocument/2006/relationships/image" Target="../media/image2.svg"/><Relationship Id="rId15" Type="http://schemas.openxmlformats.org/officeDocument/2006/relationships/image" Target="../media/image11.png"/><Relationship Id="rId10" Type="http://schemas.openxmlformats.org/officeDocument/2006/relationships/chart" Target="../charts/chart16.xml"/><Relationship Id="rId4" Type="http://schemas.openxmlformats.org/officeDocument/2006/relationships/image" Target="../media/image1.png"/><Relationship Id="rId9" Type="http://schemas.openxmlformats.org/officeDocument/2006/relationships/image" Target="../media/image6.sv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6</xdr:col>
      <xdr:colOff>0</xdr:colOff>
      <xdr:row>16</xdr:row>
      <xdr:rowOff>119062</xdr:rowOff>
    </xdr:from>
    <xdr:to>
      <xdr:col>11</xdr:col>
      <xdr:colOff>228600</xdr:colOff>
      <xdr:row>31</xdr:row>
      <xdr:rowOff>4762</xdr:rowOff>
    </xdr:to>
    <xdr:graphicFrame macro="">
      <xdr:nvGraphicFramePr>
        <xdr:cNvPr id="5" name="Chart 4">
          <a:extLst>
            <a:ext uri="{FF2B5EF4-FFF2-40B4-BE49-F238E27FC236}">
              <a16:creationId xmlns:a16="http://schemas.microsoft.com/office/drawing/2014/main" id="{C0DDBD26-71D7-C4DB-9AFE-4D4C750BD8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16</xdr:row>
      <xdr:rowOff>52387</xdr:rowOff>
    </xdr:from>
    <xdr:to>
      <xdr:col>16</xdr:col>
      <xdr:colOff>933450</xdr:colOff>
      <xdr:row>30</xdr:row>
      <xdr:rowOff>128587</xdr:rowOff>
    </xdr:to>
    <xdr:graphicFrame macro="">
      <xdr:nvGraphicFramePr>
        <xdr:cNvPr id="6" name="Chart 5">
          <a:extLst>
            <a:ext uri="{FF2B5EF4-FFF2-40B4-BE49-F238E27FC236}">
              <a16:creationId xmlns:a16="http://schemas.microsoft.com/office/drawing/2014/main" id="{3FD7D487-C0F6-23F2-68A4-C485DE9CE8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42</xdr:row>
      <xdr:rowOff>71437</xdr:rowOff>
    </xdr:from>
    <xdr:to>
      <xdr:col>4</xdr:col>
      <xdr:colOff>933450</xdr:colOff>
      <xdr:row>56</xdr:row>
      <xdr:rowOff>147637</xdr:rowOff>
    </xdr:to>
    <xdr:graphicFrame macro="">
      <xdr:nvGraphicFramePr>
        <xdr:cNvPr id="7" name="Chart 6">
          <a:extLst>
            <a:ext uri="{FF2B5EF4-FFF2-40B4-BE49-F238E27FC236}">
              <a16:creationId xmlns:a16="http://schemas.microsoft.com/office/drawing/2014/main" id="{41E87A30-B6C1-8459-96A0-D4DA39D09E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285750</xdr:colOff>
      <xdr:row>44</xdr:row>
      <xdr:rowOff>42862</xdr:rowOff>
    </xdr:from>
    <xdr:to>
      <xdr:col>11</xdr:col>
      <xdr:colOff>419100</xdr:colOff>
      <xdr:row>58</xdr:row>
      <xdr:rowOff>119062</xdr:rowOff>
    </xdr:to>
    <xdr:graphicFrame macro="">
      <xdr:nvGraphicFramePr>
        <xdr:cNvPr id="8" name="Chart 7">
          <a:extLst>
            <a:ext uri="{FF2B5EF4-FFF2-40B4-BE49-F238E27FC236}">
              <a16:creationId xmlns:a16="http://schemas.microsoft.com/office/drawing/2014/main" id="{8CBAB920-4108-BF6F-D0D2-2025A9F490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38100</xdr:colOff>
      <xdr:row>41</xdr:row>
      <xdr:rowOff>71437</xdr:rowOff>
    </xdr:from>
    <xdr:to>
      <xdr:col>16</xdr:col>
      <xdr:colOff>971550</xdr:colOff>
      <xdr:row>55</xdr:row>
      <xdr:rowOff>147637</xdr:rowOff>
    </xdr:to>
    <xdr:graphicFrame macro="">
      <xdr:nvGraphicFramePr>
        <xdr:cNvPr id="9" name="Chart 8">
          <a:extLst>
            <a:ext uri="{FF2B5EF4-FFF2-40B4-BE49-F238E27FC236}">
              <a16:creationId xmlns:a16="http://schemas.microsoft.com/office/drawing/2014/main" id="{934FCA41-9513-7115-CEC8-22F4C2B3ED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9525</xdr:colOff>
      <xdr:row>71</xdr:row>
      <xdr:rowOff>4762</xdr:rowOff>
    </xdr:from>
    <xdr:to>
      <xdr:col>4</xdr:col>
      <xdr:colOff>942975</xdr:colOff>
      <xdr:row>85</xdr:row>
      <xdr:rowOff>80962</xdr:rowOff>
    </xdr:to>
    <xdr:graphicFrame macro="">
      <xdr:nvGraphicFramePr>
        <xdr:cNvPr id="10" name="Chart 9">
          <a:extLst>
            <a:ext uri="{FF2B5EF4-FFF2-40B4-BE49-F238E27FC236}">
              <a16:creationId xmlns:a16="http://schemas.microsoft.com/office/drawing/2014/main" id="{8832D7F4-87B8-F4DE-42C7-0980D7F92B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561975</xdr:colOff>
      <xdr:row>69</xdr:row>
      <xdr:rowOff>61912</xdr:rowOff>
    </xdr:from>
    <xdr:to>
      <xdr:col>11</xdr:col>
      <xdr:colOff>409575</xdr:colOff>
      <xdr:row>83</xdr:row>
      <xdr:rowOff>138112</xdr:rowOff>
    </xdr:to>
    <xdr:graphicFrame macro="">
      <xdr:nvGraphicFramePr>
        <xdr:cNvPr id="11" name="Chart 10">
          <a:extLst>
            <a:ext uri="{FF2B5EF4-FFF2-40B4-BE49-F238E27FC236}">
              <a16:creationId xmlns:a16="http://schemas.microsoft.com/office/drawing/2014/main" id="{4D19089D-6D70-B724-3D72-9F2179872C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709612</xdr:colOff>
      <xdr:row>70</xdr:row>
      <xdr:rowOff>147637</xdr:rowOff>
    </xdr:from>
    <xdr:to>
      <xdr:col>17</xdr:col>
      <xdr:colOff>138112</xdr:colOff>
      <xdr:row>85</xdr:row>
      <xdr:rowOff>33337</xdr:rowOff>
    </xdr:to>
    <xdr:graphicFrame macro="">
      <xdr:nvGraphicFramePr>
        <xdr:cNvPr id="12" name="Chart 11">
          <a:extLst>
            <a:ext uri="{FF2B5EF4-FFF2-40B4-BE49-F238E27FC236}">
              <a16:creationId xmlns:a16="http://schemas.microsoft.com/office/drawing/2014/main" id="{AF3637B0-C887-A762-0CA2-4DEAB4F30A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52387</xdr:colOff>
      <xdr:row>98</xdr:row>
      <xdr:rowOff>157162</xdr:rowOff>
    </xdr:from>
    <xdr:to>
      <xdr:col>5</xdr:col>
      <xdr:colOff>4762</xdr:colOff>
      <xdr:row>113</xdr:row>
      <xdr:rowOff>42862</xdr:rowOff>
    </xdr:to>
    <xdr:graphicFrame macro="">
      <xdr:nvGraphicFramePr>
        <xdr:cNvPr id="13" name="Chart 12">
          <a:extLst>
            <a:ext uri="{FF2B5EF4-FFF2-40B4-BE49-F238E27FC236}">
              <a16:creationId xmlns:a16="http://schemas.microsoft.com/office/drawing/2014/main" id="{60878369-EAD2-0F87-7C46-B79F52B425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452437</xdr:colOff>
      <xdr:row>133</xdr:row>
      <xdr:rowOff>85725</xdr:rowOff>
    </xdr:from>
    <xdr:to>
      <xdr:col>6</xdr:col>
      <xdr:colOff>342900</xdr:colOff>
      <xdr:row>162</xdr:row>
      <xdr:rowOff>71437</xdr:rowOff>
    </xdr:to>
    <xdr:graphicFrame macro="">
      <xdr:nvGraphicFramePr>
        <xdr:cNvPr id="14" name="Chart 13">
          <a:extLst>
            <a:ext uri="{FF2B5EF4-FFF2-40B4-BE49-F238E27FC236}">
              <a16:creationId xmlns:a16="http://schemas.microsoft.com/office/drawing/2014/main" id="{068D45D6-99DC-495B-9540-481C33FBC3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33337</xdr:colOff>
      <xdr:row>123</xdr:row>
      <xdr:rowOff>52387</xdr:rowOff>
    </xdr:from>
    <xdr:to>
      <xdr:col>18</xdr:col>
      <xdr:colOff>23812</xdr:colOff>
      <xdr:row>137</xdr:row>
      <xdr:rowOff>128587</xdr:rowOff>
    </xdr:to>
    <xdr:graphicFrame macro="">
      <xdr:nvGraphicFramePr>
        <xdr:cNvPr id="16" name="Chart 15">
          <a:extLst>
            <a:ext uri="{FF2B5EF4-FFF2-40B4-BE49-F238E27FC236}">
              <a16:creationId xmlns:a16="http://schemas.microsoft.com/office/drawing/2014/main" id="{03B97EAE-ACFF-C852-9614-34AF010D2F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17</xdr:row>
      <xdr:rowOff>157162</xdr:rowOff>
    </xdr:from>
    <xdr:to>
      <xdr:col>5</xdr:col>
      <xdr:colOff>152400</xdr:colOff>
      <xdr:row>32</xdr:row>
      <xdr:rowOff>42862</xdr:rowOff>
    </xdr:to>
    <xdr:graphicFrame macro="">
      <xdr:nvGraphicFramePr>
        <xdr:cNvPr id="17" name="Chart 16">
          <a:extLst>
            <a:ext uri="{FF2B5EF4-FFF2-40B4-BE49-F238E27FC236}">
              <a16:creationId xmlns:a16="http://schemas.microsoft.com/office/drawing/2014/main" id="{2DDF9C47-8FE6-1A85-4F80-77864662E5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11906</xdr:colOff>
      <xdr:row>1</xdr:row>
      <xdr:rowOff>16669</xdr:rowOff>
    </xdr:from>
    <xdr:to>
      <xdr:col>20</xdr:col>
      <xdr:colOff>11906</xdr:colOff>
      <xdr:row>38</xdr:row>
      <xdr:rowOff>16669</xdr:rowOff>
    </xdr:to>
    <xdr:sp macro="" textlink="">
      <xdr:nvSpPr>
        <xdr:cNvPr id="2" name="Rectangle: Rounded Corners 1">
          <a:extLst>
            <a:ext uri="{FF2B5EF4-FFF2-40B4-BE49-F238E27FC236}">
              <a16:creationId xmlns:a16="http://schemas.microsoft.com/office/drawing/2014/main" id="{F4ED7BE0-48F7-0167-5A4B-B26959C9AB54}"/>
            </a:ext>
          </a:extLst>
        </xdr:cNvPr>
        <xdr:cNvSpPr>
          <a:spLocks/>
        </xdr:cNvSpPr>
      </xdr:nvSpPr>
      <xdr:spPr>
        <a:xfrm>
          <a:off x="11906" y="83904"/>
          <a:ext cx="12102353" cy="7048500"/>
        </a:xfrm>
        <a:prstGeom prst="roundRect">
          <a:avLst>
            <a:gd name="adj" fmla="val 3391"/>
          </a:avLst>
        </a:prstGeom>
        <a:solidFill>
          <a:schemeClr val="bg1"/>
        </a:solidFill>
        <a:ln>
          <a:noFill/>
        </a:ln>
        <a:effectLst>
          <a:outerShdw blurRad="50800" dist="254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120190</xdr:colOff>
      <xdr:row>1</xdr:row>
      <xdr:rowOff>118937</xdr:rowOff>
    </xdr:from>
    <xdr:to>
      <xdr:col>3</xdr:col>
      <xdr:colOff>541295</xdr:colOff>
      <xdr:row>37</xdr:row>
      <xdr:rowOff>104900</xdr:rowOff>
    </xdr:to>
    <xdr:sp macro="" textlink="">
      <xdr:nvSpPr>
        <xdr:cNvPr id="3" name="Rectangle: Rounded Corners 2">
          <a:extLst>
            <a:ext uri="{FF2B5EF4-FFF2-40B4-BE49-F238E27FC236}">
              <a16:creationId xmlns:a16="http://schemas.microsoft.com/office/drawing/2014/main" id="{E64202F6-5785-A263-C889-428A77F81366}"/>
            </a:ext>
          </a:extLst>
        </xdr:cNvPr>
        <xdr:cNvSpPr/>
      </xdr:nvSpPr>
      <xdr:spPr>
        <a:xfrm>
          <a:off x="733293" y="305058"/>
          <a:ext cx="2260416" cy="6686308"/>
        </a:xfrm>
        <a:prstGeom prst="roundRect">
          <a:avLst>
            <a:gd name="adj" fmla="val 8122"/>
          </a:avLst>
        </a:prstGeom>
        <a:solidFill>
          <a:srgbClr val="F2F2F2"/>
        </a:solidFill>
        <a:ln>
          <a:noFill/>
        </a:ln>
        <a:effectLst>
          <a:outerShdw blurRad="50800" dist="1905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92492</xdr:colOff>
      <xdr:row>4</xdr:row>
      <xdr:rowOff>107032</xdr:rowOff>
    </xdr:from>
    <xdr:to>
      <xdr:col>19</xdr:col>
      <xdr:colOff>389271</xdr:colOff>
      <xdr:row>8</xdr:row>
      <xdr:rowOff>125079</xdr:rowOff>
    </xdr:to>
    <xdr:sp macro="" textlink="">
      <xdr:nvSpPr>
        <xdr:cNvPr id="4" name="Rectangle: Rounded Corners 3">
          <a:extLst>
            <a:ext uri="{FF2B5EF4-FFF2-40B4-BE49-F238E27FC236}">
              <a16:creationId xmlns:a16="http://schemas.microsoft.com/office/drawing/2014/main" id="{FD90E6EB-CB57-1EC7-633D-648652395B4E}"/>
            </a:ext>
          </a:extLst>
        </xdr:cNvPr>
        <xdr:cNvSpPr/>
      </xdr:nvSpPr>
      <xdr:spPr>
        <a:xfrm>
          <a:off x="3118080" y="869032"/>
          <a:ext cx="9373544" cy="780047"/>
        </a:xfrm>
        <a:prstGeom prst="roundRect">
          <a:avLst>
            <a:gd name="adj" fmla="val 19530"/>
          </a:avLst>
        </a:prstGeom>
        <a:solidFill>
          <a:schemeClr val="bg1"/>
        </a:solidFill>
        <a:ln>
          <a:noFill/>
        </a:ln>
        <a:effectLst>
          <a:outerShdw blurRad="50800" dist="1905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9</xdr:col>
      <xdr:colOff>110540</xdr:colOff>
      <xdr:row>5</xdr:row>
      <xdr:rowOff>71939</xdr:rowOff>
    </xdr:from>
    <xdr:to>
      <xdr:col>9</xdr:col>
      <xdr:colOff>110540</xdr:colOff>
      <xdr:row>7</xdr:row>
      <xdr:rowOff>160171</xdr:rowOff>
    </xdr:to>
    <xdr:cxnSp macro="">
      <xdr:nvCxnSpPr>
        <xdr:cNvPr id="10" name="Straight Connector 9">
          <a:extLst>
            <a:ext uri="{FF2B5EF4-FFF2-40B4-BE49-F238E27FC236}">
              <a16:creationId xmlns:a16="http://schemas.microsoft.com/office/drawing/2014/main" id="{87CAA499-4B23-D578-52C3-AF5A4AFE0841}"/>
            </a:ext>
          </a:extLst>
        </xdr:cNvPr>
        <xdr:cNvCxnSpPr>
          <a:cxnSpLocks/>
        </xdr:cNvCxnSpPr>
      </xdr:nvCxnSpPr>
      <xdr:spPr>
        <a:xfrm>
          <a:off x="6161716" y="1024439"/>
          <a:ext cx="0" cy="469232"/>
        </a:xfrm>
        <a:prstGeom prst="line">
          <a:avLst/>
        </a:prstGeom>
        <a:ln>
          <a:solidFill>
            <a:srgbClr val="035156"/>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371224</xdr:colOff>
      <xdr:row>5</xdr:row>
      <xdr:rowOff>71939</xdr:rowOff>
    </xdr:from>
    <xdr:to>
      <xdr:col>14</xdr:col>
      <xdr:colOff>371224</xdr:colOff>
      <xdr:row>7</xdr:row>
      <xdr:rowOff>160171</xdr:rowOff>
    </xdr:to>
    <xdr:cxnSp macro="">
      <xdr:nvCxnSpPr>
        <xdr:cNvPr id="11" name="Straight Connector 10">
          <a:extLst>
            <a:ext uri="{FF2B5EF4-FFF2-40B4-BE49-F238E27FC236}">
              <a16:creationId xmlns:a16="http://schemas.microsoft.com/office/drawing/2014/main" id="{05F4473D-638D-55C2-18A9-51204230DF51}"/>
            </a:ext>
          </a:extLst>
        </xdr:cNvPr>
        <xdr:cNvCxnSpPr>
          <a:cxnSpLocks/>
        </xdr:cNvCxnSpPr>
      </xdr:nvCxnSpPr>
      <xdr:spPr>
        <a:xfrm>
          <a:off x="9447989" y="1024439"/>
          <a:ext cx="0" cy="469232"/>
        </a:xfrm>
        <a:prstGeom prst="line">
          <a:avLst/>
        </a:prstGeom>
        <a:ln>
          <a:solidFill>
            <a:srgbClr val="035156"/>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47093</xdr:colOff>
      <xdr:row>5</xdr:row>
      <xdr:rowOff>75228</xdr:rowOff>
    </xdr:from>
    <xdr:to>
      <xdr:col>13</xdr:col>
      <xdr:colOff>202967</xdr:colOff>
      <xdr:row>7</xdr:row>
      <xdr:rowOff>156882</xdr:rowOff>
    </xdr:to>
    <xdr:grpSp>
      <xdr:nvGrpSpPr>
        <xdr:cNvPr id="2099" name="Group 2098">
          <a:extLst>
            <a:ext uri="{FF2B5EF4-FFF2-40B4-BE49-F238E27FC236}">
              <a16:creationId xmlns:a16="http://schemas.microsoft.com/office/drawing/2014/main" id="{20A60552-38E3-A28B-76AC-C838089CD145}"/>
            </a:ext>
          </a:extLst>
        </xdr:cNvPr>
        <xdr:cNvGrpSpPr/>
      </xdr:nvGrpSpPr>
      <xdr:grpSpPr>
        <a:xfrm>
          <a:off x="6098269" y="904463"/>
          <a:ext cx="1971227" cy="462654"/>
          <a:chOff x="6703387" y="1027728"/>
          <a:chExt cx="1971227" cy="462654"/>
        </a:xfrm>
      </xdr:grpSpPr>
      <xdr:sp macro="" textlink="">
        <xdr:nvSpPr>
          <xdr:cNvPr id="13" name="TextBox 22">
            <a:extLst>
              <a:ext uri="{FF2B5EF4-FFF2-40B4-BE49-F238E27FC236}">
                <a16:creationId xmlns:a16="http://schemas.microsoft.com/office/drawing/2014/main" id="{1284DBF9-CF1B-9764-1998-CB3AA3D518E7}"/>
              </a:ext>
            </a:extLst>
          </xdr:cNvPr>
          <xdr:cNvSpPr txBox="1"/>
        </xdr:nvSpPr>
        <xdr:spPr>
          <a:xfrm>
            <a:off x="6703387" y="1027728"/>
            <a:ext cx="1971227" cy="267973"/>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b="0">
                <a:latin typeface="Georgia" panose="02040502050405020303" pitchFamily="18" charset="0"/>
              </a:rPr>
              <a:t>Total Bike Purchasers</a:t>
            </a:r>
          </a:p>
        </xdr:txBody>
      </xdr:sp>
      <xdr:sp macro="" textlink="$X$12">
        <xdr:nvSpPr>
          <xdr:cNvPr id="22" name="TextBox 21">
            <a:extLst>
              <a:ext uri="{FF2B5EF4-FFF2-40B4-BE49-F238E27FC236}">
                <a16:creationId xmlns:a16="http://schemas.microsoft.com/office/drawing/2014/main" id="{C542DA27-8C76-6CE8-3F66-9F7B602F23F4}"/>
              </a:ext>
            </a:extLst>
          </xdr:cNvPr>
          <xdr:cNvSpPr txBox="1"/>
        </xdr:nvSpPr>
        <xdr:spPr>
          <a:xfrm>
            <a:off x="6778136" y="1177723"/>
            <a:ext cx="531862" cy="3126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5FA09DD4-0752-4841-8553-257EF2D0FB5E}" type="TxLink">
              <a:rPr lang="en-US" sz="1500" b="1" i="0" u="none" strike="noStrike">
                <a:solidFill>
                  <a:srgbClr val="000000"/>
                </a:solidFill>
                <a:latin typeface="Georgia" panose="02040502050405020303" pitchFamily="18" charset="0"/>
                <a:cs typeface="Calibri"/>
              </a:rPr>
              <a:pPr/>
              <a:t>481</a:t>
            </a:fld>
            <a:endParaRPr lang="en-US" sz="1500" b="1">
              <a:latin typeface="Georgia" panose="02040502050405020303" pitchFamily="18" charset="0"/>
              <a:cs typeface="Aptos Serif" panose="020B0502040204020203" pitchFamily="18" charset="0"/>
            </a:endParaRPr>
          </a:p>
        </xdr:txBody>
      </xdr:sp>
    </xdr:grpSp>
    <xdr:clientData/>
  </xdr:twoCellAnchor>
  <xdr:twoCellAnchor>
    <xdr:from>
      <xdr:col>4</xdr:col>
      <xdr:colOff>587865</xdr:colOff>
      <xdr:row>5</xdr:row>
      <xdr:rowOff>75228</xdr:rowOff>
    </xdr:from>
    <xdr:to>
      <xdr:col>8</xdr:col>
      <xdr:colOff>278097</xdr:colOff>
      <xdr:row>7</xdr:row>
      <xdr:rowOff>156882</xdr:rowOff>
    </xdr:to>
    <xdr:grpSp>
      <xdr:nvGrpSpPr>
        <xdr:cNvPr id="2100" name="Group 2099">
          <a:extLst>
            <a:ext uri="{FF2B5EF4-FFF2-40B4-BE49-F238E27FC236}">
              <a16:creationId xmlns:a16="http://schemas.microsoft.com/office/drawing/2014/main" id="{C6F96A74-D2E3-2770-782F-67D72865ABAC}"/>
            </a:ext>
          </a:extLst>
        </xdr:cNvPr>
        <xdr:cNvGrpSpPr/>
      </xdr:nvGrpSpPr>
      <xdr:grpSpPr>
        <a:xfrm>
          <a:off x="3008336" y="904463"/>
          <a:ext cx="2110702" cy="462654"/>
          <a:chOff x="3613453" y="1027728"/>
          <a:chExt cx="2110703" cy="462654"/>
        </a:xfrm>
      </xdr:grpSpPr>
      <xdr:sp macro="" textlink="">
        <xdr:nvSpPr>
          <xdr:cNvPr id="14" name="TextBox 23">
            <a:extLst>
              <a:ext uri="{FF2B5EF4-FFF2-40B4-BE49-F238E27FC236}">
                <a16:creationId xmlns:a16="http://schemas.microsoft.com/office/drawing/2014/main" id="{F594623B-25EC-823C-772C-F5B29755564B}"/>
              </a:ext>
            </a:extLst>
          </xdr:cNvPr>
          <xdr:cNvSpPr txBox="1"/>
        </xdr:nvSpPr>
        <xdr:spPr>
          <a:xfrm>
            <a:off x="3613453" y="1027728"/>
            <a:ext cx="2110703" cy="267973"/>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b="0">
                <a:latin typeface="Georgia" panose="02040502050405020303" pitchFamily="18" charset="0"/>
              </a:rPr>
              <a:t>Total Number of Customers</a:t>
            </a:r>
          </a:p>
        </xdr:txBody>
      </xdr:sp>
      <xdr:sp macro="" textlink="$X$11">
        <xdr:nvSpPr>
          <xdr:cNvPr id="23" name="TextBox 22">
            <a:extLst>
              <a:ext uri="{FF2B5EF4-FFF2-40B4-BE49-F238E27FC236}">
                <a16:creationId xmlns:a16="http://schemas.microsoft.com/office/drawing/2014/main" id="{89C30F67-7245-4729-95EF-C3A2892EA914}"/>
              </a:ext>
            </a:extLst>
          </xdr:cNvPr>
          <xdr:cNvSpPr txBox="1"/>
        </xdr:nvSpPr>
        <xdr:spPr>
          <a:xfrm>
            <a:off x="3702760" y="1177723"/>
            <a:ext cx="785752" cy="3126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6AA451F-909C-46BA-A04E-5141045576C3}" type="TxLink">
              <a:rPr lang="en-US" sz="1500" b="1" i="0" u="none" strike="noStrike">
                <a:solidFill>
                  <a:srgbClr val="000000"/>
                </a:solidFill>
                <a:latin typeface="Georgia" panose="02040502050405020303" pitchFamily="18" charset="0"/>
                <a:cs typeface="Calibri"/>
              </a:rPr>
              <a:pPr/>
              <a:t>1000</a:t>
            </a:fld>
            <a:endParaRPr lang="en-US" sz="1500" b="1">
              <a:latin typeface="Georgia" panose="02040502050405020303" pitchFamily="18" charset="0"/>
              <a:cs typeface="Aptos Serif" panose="020B0502040204020203" pitchFamily="18" charset="0"/>
            </a:endParaRPr>
          </a:p>
        </xdr:txBody>
      </xdr:sp>
    </xdr:grpSp>
    <xdr:clientData/>
  </xdr:twoCellAnchor>
  <xdr:twoCellAnchor>
    <xdr:from>
      <xdr:col>15</xdr:col>
      <xdr:colOff>307193</xdr:colOff>
      <xdr:row>5</xdr:row>
      <xdr:rowOff>75228</xdr:rowOff>
    </xdr:from>
    <xdr:to>
      <xdr:col>19</xdr:col>
      <xdr:colOff>405848</xdr:colOff>
      <xdr:row>7</xdr:row>
      <xdr:rowOff>156882</xdr:rowOff>
    </xdr:to>
    <xdr:grpSp>
      <xdr:nvGrpSpPr>
        <xdr:cNvPr id="2098" name="Group 2097">
          <a:extLst>
            <a:ext uri="{FF2B5EF4-FFF2-40B4-BE49-F238E27FC236}">
              <a16:creationId xmlns:a16="http://schemas.microsoft.com/office/drawing/2014/main" id="{AB7C691D-A4B4-B17C-896C-99DA0EE4A6EB}"/>
            </a:ext>
          </a:extLst>
        </xdr:cNvPr>
        <xdr:cNvGrpSpPr/>
      </xdr:nvGrpSpPr>
      <xdr:grpSpPr>
        <a:xfrm>
          <a:off x="9383958" y="904463"/>
          <a:ext cx="2519125" cy="462654"/>
          <a:chOff x="9989075" y="1027728"/>
          <a:chExt cx="2519126" cy="462654"/>
        </a:xfrm>
      </xdr:grpSpPr>
      <xdr:sp macro="" textlink="">
        <xdr:nvSpPr>
          <xdr:cNvPr id="16" name="TextBox 25">
            <a:extLst>
              <a:ext uri="{FF2B5EF4-FFF2-40B4-BE49-F238E27FC236}">
                <a16:creationId xmlns:a16="http://schemas.microsoft.com/office/drawing/2014/main" id="{94522FC7-D41E-D921-4432-3B89E9DA9D3A}"/>
              </a:ext>
            </a:extLst>
          </xdr:cNvPr>
          <xdr:cNvSpPr txBox="1"/>
        </xdr:nvSpPr>
        <xdr:spPr>
          <a:xfrm>
            <a:off x="9989075" y="1027728"/>
            <a:ext cx="2519126" cy="267973"/>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200" b="0">
                <a:latin typeface="Georgia" panose="02040502050405020303" pitchFamily="18" charset="0"/>
              </a:rPr>
              <a:t>Overall Purchase Conversion Rate</a:t>
            </a:r>
          </a:p>
        </xdr:txBody>
      </xdr:sp>
      <xdr:sp macro="" textlink="$X$13">
        <xdr:nvSpPr>
          <xdr:cNvPr id="25" name="TextBox 24">
            <a:extLst>
              <a:ext uri="{FF2B5EF4-FFF2-40B4-BE49-F238E27FC236}">
                <a16:creationId xmlns:a16="http://schemas.microsoft.com/office/drawing/2014/main" id="{BC7CC584-AAC9-4B60-9E99-E90C4F4CFD1B}"/>
              </a:ext>
            </a:extLst>
          </xdr:cNvPr>
          <xdr:cNvSpPr txBox="1"/>
        </xdr:nvSpPr>
        <xdr:spPr>
          <a:xfrm>
            <a:off x="10086473" y="1177723"/>
            <a:ext cx="897301" cy="3126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F1A58E04-FF49-43BE-BF55-BC6EF935F41F}" type="TxLink">
              <a:rPr lang="en-US" sz="1500" b="1" i="0" u="none" strike="noStrike">
                <a:solidFill>
                  <a:srgbClr val="000000"/>
                </a:solidFill>
                <a:latin typeface="Georgia" panose="02040502050405020303" pitchFamily="18" charset="0"/>
                <a:cs typeface="Calibri"/>
              </a:rPr>
              <a:pPr/>
              <a:t>48.10%</a:t>
            </a:fld>
            <a:endParaRPr lang="en-US" sz="1500" b="1">
              <a:latin typeface="Georgia" panose="02040502050405020303" pitchFamily="18" charset="0"/>
              <a:cs typeface="Aptos Serif" panose="020B0502040204020203" pitchFamily="18" charset="0"/>
            </a:endParaRPr>
          </a:p>
        </xdr:txBody>
      </xdr:sp>
    </xdr:grpSp>
    <xdr:clientData/>
  </xdr:twoCellAnchor>
  <xdr:twoCellAnchor>
    <xdr:from>
      <xdr:col>9</xdr:col>
      <xdr:colOff>250782</xdr:colOff>
      <xdr:row>9</xdr:row>
      <xdr:rowOff>74881</xdr:rowOff>
    </xdr:from>
    <xdr:to>
      <xdr:col>14</xdr:col>
      <xdr:colOff>266701</xdr:colOff>
      <xdr:row>23</xdr:row>
      <xdr:rowOff>114989</xdr:rowOff>
    </xdr:to>
    <xdr:sp macro="" textlink="">
      <xdr:nvSpPr>
        <xdr:cNvPr id="52" name="Rectangle: Rounded Corners 51">
          <a:extLst>
            <a:ext uri="{FF2B5EF4-FFF2-40B4-BE49-F238E27FC236}">
              <a16:creationId xmlns:a16="http://schemas.microsoft.com/office/drawing/2014/main" id="{09D51CD3-5C95-D9E6-D217-7F83FD712D42}"/>
            </a:ext>
          </a:extLst>
        </xdr:cNvPr>
        <xdr:cNvSpPr/>
      </xdr:nvSpPr>
      <xdr:spPr>
        <a:xfrm>
          <a:off x="5696841" y="1666116"/>
          <a:ext cx="3041507" cy="2707108"/>
        </a:xfrm>
        <a:prstGeom prst="roundRect">
          <a:avLst>
            <a:gd name="adj" fmla="val 8056"/>
          </a:avLst>
        </a:prstGeom>
        <a:solidFill>
          <a:schemeClr val="bg1"/>
        </a:solidFill>
        <a:ln>
          <a:noFill/>
        </a:ln>
        <a:effectLst>
          <a:outerShdw blurRad="50800" dist="1905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14</xdr:col>
      <xdr:colOff>405864</xdr:colOff>
      <xdr:row>9</xdr:row>
      <xdr:rowOff>74881</xdr:rowOff>
    </xdr:from>
    <xdr:to>
      <xdr:col>19</xdr:col>
      <xdr:colOff>421782</xdr:colOff>
      <xdr:row>23</xdr:row>
      <xdr:rowOff>114989</xdr:rowOff>
    </xdr:to>
    <xdr:sp macro="" textlink="">
      <xdr:nvSpPr>
        <xdr:cNvPr id="53" name="Rectangle: Rounded Corners 52">
          <a:extLst>
            <a:ext uri="{FF2B5EF4-FFF2-40B4-BE49-F238E27FC236}">
              <a16:creationId xmlns:a16="http://schemas.microsoft.com/office/drawing/2014/main" id="{0BE75917-4ABE-9067-A7C0-FF2E9B14401E}"/>
            </a:ext>
          </a:extLst>
        </xdr:cNvPr>
        <xdr:cNvSpPr/>
      </xdr:nvSpPr>
      <xdr:spPr>
        <a:xfrm>
          <a:off x="8877511" y="1666116"/>
          <a:ext cx="3041506" cy="2707108"/>
        </a:xfrm>
        <a:prstGeom prst="roundRect">
          <a:avLst>
            <a:gd name="adj" fmla="val 8056"/>
          </a:avLst>
        </a:prstGeom>
        <a:solidFill>
          <a:schemeClr val="bg1"/>
        </a:solidFill>
        <a:ln>
          <a:noFill/>
        </a:ln>
        <a:effectLst>
          <a:outerShdw blurRad="50800" dist="1905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15</xdr:col>
      <xdr:colOff>402033</xdr:colOff>
      <xdr:row>24</xdr:row>
      <xdr:rowOff>64792</xdr:rowOff>
    </xdr:from>
    <xdr:to>
      <xdr:col>19</xdr:col>
      <xdr:colOff>421782</xdr:colOff>
      <xdr:row>37</xdr:row>
      <xdr:rowOff>104900</xdr:rowOff>
    </xdr:to>
    <xdr:sp macro="" textlink="">
      <xdr:nvSpPr>
        <xdr:cNvPr id="55" name="Rectangle: Rounded Corners 54">
          <a:extLst>
            <a:ext uri="{FF2B5EF4-FFF2-40B4-BE49-F238E27FC236}">
              <a16:creationId xmlns:a16="http://schemas.microsoft.com/office/drawing/2014/main" id="{0D5C7565-65F1-595D-0EA5-41F21D84EA72}"/>
            </a:ext>
          </a:extLst>
        </xdr:cNvPr>
        <xdr:cNvSpPr/>
      </xdr:nvSpPr>
      <xdr:spPr>
        <a:xfrm>
          <a:off x="10211688" y="4531689"/>
          <a:ext cx="2472163" cy="2459677"/>
        </a:xfrm>
        <a:prstGeom prst="roundRect">
          <a:avLst>
            <a:gd name="adj" fmla="val 8056"/>
          </a:avLst>
        </a:prstGeom>
        <a:solidFill>
          <a:schemeClr val="bg1"/>
        </a:solidFill>
        <a:ln>
          <a:noFill/>
        </a:ln>
        <a:effectLst>
          <a:outerShdw blurRad="50800" dist="1905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9</xdr:col>
      <xdr:colOff>250783</xdr:colOff>
      <xdr:row>24</xdr:row>
      <xdr:rowOff>64792</xdr:rowOff>
    </xdr:from>
    <xdr:to>
      <xdr:col>15</xdr:col>
      <xdr:colOff>272143</xdr:colOff>
      <xdr:row>37</xdr:row>
      <xdr:rowOff>104900</xdr:rowOff>
    </xdr:to>
    <xdr:sp macro="" textlink="">
      <xdr:nvSpPr>
        <xdr:cNvPr id="58" name="Rectangle: Rounded Corners 57">
          <a:extLst>
            <a:ext uri="{FF2B5EF4-FFF2-40B4-BE49-F238E27FC236}">
              <a16:creationId xmlns:a16="http://schemas.microsoft.com/office/drawing/2014/main" id="{104CEA53-1AD3-B572-3C1D-50A1CF6F7154}"/>
            </a:ext>
          </a:extLst>
        </xdr:cNvPr>
        <xdr:cNvSpPr/>
      </xdr:nvSpPr>
      <xdr:spPr>
        <a:xfrm>
          <a:off x="5696842" y="4513527"/>
          <a:ext cx="3652066" cy="2516608"/>
        </a:xfrm>
        <a:prstGeom prst="roundRect">
          <a:avLst>
            <a:gd name="adj" fmla="val 8056"/>
          </a:avLst>
        </a:prstGeom>
        <a:solidFill>
          <a:schemeClr val="bg1"/>
        </a:solidFill>
        <a:ln>
          <a:noFill/>
        </a:ln>
        <a:effectLst>
          <a:outerShdw blurRad="50800" dist="1905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9</xdr:col>
      <xdr:colOff>277676</xdr:colOff>
      <xdr:row>10</xdr:row>
      <xdr:rowOff>142411</xdr:rowOff>
    </xdr:from>
    <xdr:to>
      <xdr:col>14</xdr:col>
      <xdr:colOff>153852</xdr:colOff>
      <xdr:row>23</xdr:row>
      <xdr:rowOff>23348</xdr:rowOff>
    </xdr:to>
    <xdr:graphicFrame macro="">
      <xdr:nvGraphicFramePr>
        <xdr:cNvPr id="19" name="Chart 34">
          <a:extLst>
            <a:ext uri="{FF2B5EF4-FFF2-40B4-BE49-F238E27FC236}">
              <a16:creationId xmlns:a16="http://schemas.microsoft.com/office/drawing/2014/main" id="{C2DBA000-6936-4F2C-8932-E285791971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455494</xdr:colOff>
      <xdr:row>10</xdr:row>
      <xdr:rowOff>140000</xdr:rowOff>
    </xdr:from>
    <xdr:to>
      <xdr:col>19</xdr:col>
      <xdr:colOff>372152</xdr:colOff>
      <xdr:row>23</xdr:row>
      <xdr:rowOff>113806</xdr:rowOff>
    </xdr:to>
    <xdr:graphicFrame macro="">
      <xdr:nvGraphicFramePr>
        <xdr:cNvPr id="24" name="Chart 35">
          <a:extLst>
            <a:ext uri="{FF2B5EF4-FFF2-40B4-BE49-F238E27FC236}">
              <a16:creationId xmlns:a16="http://schemas.microsoft.com/office/drawing/2014/main" id="{35B174E8-95EB-4AD3-9AA0-52EA1D8ED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321622</xdr:colOff>
      <xdr:row>25</xdr:row>
      <xdr:rowOff>131376</xdr:rowOff>
    </xdr:from>
    <xdr:to>
      <xdr:col>15</xdr:col>
      <xdr:colOff>210291</xdr:colOff>
      <xdr:row>37</xdr:row>
      <xdr:rowOff>166069</xdr:rowOff>
    </xdr:to>
    <xdr:graphicFrame macro="">
      <xdr:nvGraphicFramePr>
        <xdr:cNvPr id="60" name="Chart 59">
          <a:extLst>
            <a:ext uri="{FF2B5EF4-FFF2-40B4-BE49-F238E27FC236}">
              <a16:creationId xmlns:a16="http://schemas.microsoft.com/office/drawing/2014/main" id="{C25EA0A3-C3B0-406E-908A-1B0B7E43F3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506327</xdr:colOff>
      <xdr:row>5</xdr:row>
      <xdr:rowOff>71939</xdr:rowOff>
    </xdr:from>
    <xdr:to>
      <xdr:col>15</xdr:col>
      <xdr:colOff>365958</xdr:colOff>
      <xdr:row>7</xdr:row>
      <xdr:rowOff>160171</xdr:rowOff>
    </xdr:to>
    <xdr:grpSp>
      <xdr:nvGrpSpPr>
        <xdr:cNvPr id="2095" name="Group 2094">
          <a:extLst>
            <a:ext uri="{FF2B5EF4-FFF2-40B4-BE49-F238E27FC236}">
              <a16:creationId xmlns:a16="http://schemas.microsoft.com/office/drawing/2014/main" id="{36D03C66-7284-58A8-C5B7-5385AE7E6AF0}"/>
            </a:ext>
          </a:extLst>
        </xdr:cNvPr>
        <xdr:cNvGrpSpPr/>
      </xdr:nvGrpSpPr>
      <xdr:grpSpPr>
        <a:xfrm>
          <a:off x="8977974" y="901174"/>
          <a:ext cx="464749" cy="469232"/>
          <a:chOff x="9583092" y="1050481"/>
          <a:chExt cx="464748" cy="469232"/>
        </a:xfrm>
      </xdr:grpSpPr>
      <xdr:sp macro="" textlink="">
        <xdr:nvSpPr>
          <xdr:cNvPr id="17" name="Oval 16">
            <a:extLst>
              <a:ext uri="{FF2B5EF4-FFF2-40B4-BE49-F238E27FC236}">
                <a16:creationId xmlns:a16="http://schemas.microsoft.com/office/drawing/2014/main" id="{282873F5-8631-948D-E7E6-2AC0CA8AF56D}"/>
              </a:ext>
            </a:extLst>
          </xdr:cNvPr>
          <xdr:cNvSpPr/>
        </xdr:nvSpPr>
        <xdr:spPr>
          <a:xfrm>
            <a:off x="9583092" y="1050481"/>
            <a:ext cx="464748" cy="469232"/>
          </a:xfrm>
          <a:prstGeom prst="ellipse">
            <a:avLst/>
          </a:prstGeom>
          <a:gradFill>
            <a:gsLst>
              <a:gs pos="0">
                <a:schemeClr val="accent3">
                  <a:lumMod val="0"/>
                  <a:lumOff val="100000"/>
                </a:schemeClr>
              </a:gs>
              <a:gs pos="16000">
                <a:schemeClr val="accent3">
                  <a:lumMod val="20000"/>
                  <a:lumOff val="80000"/>
                </a:schemeClr>
              </a:gs>
              <a:gs pos="100000">
                <a:srgbClr val="035156"/>
              </a:gs>
            </a:gsLst>
            <a:path path="circle">
              <a:fillToRect l="50000" t="-80000" r="50000" b="18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pic>
        <xdr:nvPicPr>
          <xdr:cNvPr id="2051" name="Graphic 2050" descr="Mortgage with solid fill">
            <a:extLst>
              <a:ext uri="{FF2B5EF4-FFF2-40B4-BE49-F238E27FC236}">
                <a16:creationId xmlns:a16="http://schemas.microsoft.com/office/drawing/2014/main" id="{26884792-0BFA-3693-2ADC-0E52B638F27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681525" y="1146830"/>
            <a:ext cx="267882" cy="276535"/>
          </a:xfrm>
          <a:prstGeom prst="rect">
            <a:avLst/>
          </a:prstGeom>
        </xdr:spPr>
      </xdr:pic>
    </xdr:grpSp>
    <xdr:clientData/>
  </xdr:twoCellAnchor>
  <xdr:twoCellAnchor>
    <xdr:from>
      <xdr:col>9</xdr:col>
      <xdr:colOff>212462</xdr:colOff>
      <xdr:row>5</xdr:row>
      <xdr:rowOff>71939</xdr:rowOff>
    </xdr:from>
    <xdr:to>
      <xdr:col>10</xdr:col>
      <xdr:colOff>72095</xdr:colOff>
      <xdr:row>7</xdr:row>
      <xdr:rowOff>160171</xdr:rowOff>
    </xdr:to>
    <xdr:grpSp>
      <xdr:nvGrpSpPr>
        <xdr:cNvPr id="2096" name="Group 2095">
          <a:extLst>
            <a:ext uri="{FF2B5EF4-FFF2-40B4-BE49-F238E27FC236}">
              <a16:creationId xmlns:a16="http://schemas.microsoft.com/office/drawing/2014/main" id="{49069269-C96C-73D5-6B56-6785DFFF0420}"/>
            </a:ext>
          </a:extLst>
        </xdr:cNvPr>
        <xdr:cNvGrpSpPr/>
      </xdr:nvGrpSpPr>
      <xdr:grpSpPr>
        <a:xfrm>
          <a:off x="5658521" y="901174"/>
          <a:ext cx="464750" cy="469232"/>
          <a:chOff x="6263638" y="1045501"/>
          <a:chExt cx="464751" cy="469232"/>
        </a:xfrm>
      </xdr:grpSpPr>
      <xdr:sp macro="" textlink="">
        <xdr:nvSpPr>
          <xdr:cNvPr id="15" name="Oval 14">
            <a:extLst>
              <a:ext uri="{FF2B5EF4-FFF2-40B4-BE49-F238E27FC236}">
                <a16:creationId xmlns:a16="http://schemas.microsoft.com/office/drawing/2014/main" id="{D8A3D5C8-F4D0-02E5-3FD5-A3866E58CF19}"/>
              </a:ext>
            </a:extLst>
          </xdr:cNvPr>
          <xdr:cNvSpPr/>
        </xdr:nvSpPr>
        <xdr:spPr>
          <a:xfrm>
            <a:off x="6263638" y="1045501"/>
            <a:ext cx="464751" cy="469232"/>
          </a:xfrm>
          <a:prstGeom prst="ellipse">
            <a:avLst/>
          </a:prstGeom>
          <a:gradFill>
            <a:gsLst>
              <a:gs pos="0">
                <a:schemeClr val="accent3">
                  <a:lumMod val="0"/>
                  <a:lumOff val="100000"/>
                </a:schemeClr>
              </a:gs>
              <a:gs pos="16000">
                <a:schemeClr val="accent3">
                  <a:lumMod val="20000"/>
                  <a:lumOff val="80000"/>
                </a:schemeClr>
              </a:gs>
              <a:gs pos="100000">
                <a:srgbClr val="035156"/>
              </a:gs>
            </a:gsLst>
            <a:path path="circle">
              <a:fillToRect l="50000" t="-80000" r="50000" b="18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pic>
        <xdr:nvPicPr>
          <xdr:cNvPr id="2053" name="Graphic 2052" descr="Motorcycle with solid fill">
            <a:extLst>
              <a:ext uri="{FF2B5EF4-FFF2-40B4-BE49-F238E27FC236}">
                <a16:creationId xmlns:a16="http://schemas.microsoft.com/office/drawing/2014/main" id="{302A6B44-8ADF-7ABA-6A50-99DE8FE513B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361533" y="1140742"/>
            <a:ext cx="268961" cy="278750"/>
          </a:xfrm>
          <a:prstGeom prst="rect">
            <a:avLst/>
          </a:prstGeom>
        </xdr:spPr>
      </xdr:pic>
    </xdr:grpSp>
    <xdr:clientData/>
  </xdr:twoCellAnchor>
  <xdr:twoCellAnchor>
    <xdr:from>
      <xdr:col>4</xdr:col>
      <xdr:colOff>163804</xdr:colOff>
      <xdr:row>5</xdr:row>
      <xdr:rowOff>71939</xdr:rowOff>
    </xdr:from>
    <xdr:to>
      <xdr:col>5</xdr:col>
      <xdr:colOff>23436</xdr:colOff>
      <xdr:row>7</xdr:row>
      <xdr:rowOff>160171</xdr:rowOff>
    </xdr:to>
    <xdr:grpSp>
      <xdr:nvGrpSpPr>
        <xdr:cNvPr id="2097" name="Group 2096">
          <a:extLst>
            <a:ext uri="{FF2B5EF4-FFF2-40B4-BE49-F238E27FC236}">
              <a16:creationId xmlns:a16="http://schemas.microsoft.com/office/drawing/2014/main" id="{4A2CCD2E-A3C7-E8BA-7749-5DD12CD92D0A}"/>
            </a:ext>
          </a:extLst>
        </xdr:cNvPr>
        <xdr:cNvGrpSpPr/>
      </xdr:nvGrpSpPr>
      <xdr:grpSpPr>
        <a:xfrm>
          <a:off x="2584275" y="901174"/>
          <a:ext cx="464749" cy="469232"/>
          <a:chOff x="3189392" y="1024439"/>
          <a:chExt cx="464750" cy="469232"/>
        </a:xfrm>
      </xdr:grpSpPr>
      <xdr:sp macro="" textlink="">
        <xdr:nvSpPr>
          <xdr:cNvPr id="12" name="Oval 11">
            <a:extLst>
              <a:ext uri="{FF2B5EF4-FFF2-40B4-BE49-F238E27FC236}">
                <a16:creationId xmlns:a16="http://schemas.microsoft.com/office/drawing/2014/main" id="{B4E7EDCA-41C1-08EF-68F5-FBAE600FC9A1}"/>
              </a:ext>
            </a:extLst>
          </xdr:cNvPr>
          <xdr:cNvSpPr/>
        </xdr:nvSpPr>
        <xdr:spPr>
          <a:xfrm>
            <a:off x="3189392" y="1024439"/>
            <a:ext cx="464750" cy="469232"/>
          </a:xfrm>
          <a:prstGeom prst="ellipse">
            <a:avLst/>
          </a:prstGeom>
          <a:gradFill>
            <a:gsLst>
              <a:gs pos="0">
                <a:schemeClr val="accent3">
                  <a:lumMod val="0"/>
                  <a:lumOff val="100000"/>
                </a:schemeClr>
              </a:gs>
              <a:gs pos="16000">
                <a:schemeClr val="accent3">
                  <a:lumMod val="20000"/>
                  <a:lumOff val="80000"/>
                </a:schemeClr>
              </a:gs>
              <a:gs pos="100000">
                <a:srgbClr val="035156"/>
              </a:gs>
            </a:gsLst>
            <a:path path="circle">
              <a:fillToRect l="50000" t="-80000" r="50000" b="18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pic>
        <xdr:nvPicPr>
          <xdr:cNvPr id="2055" name="Graphic 2054" descr="Family with two children with solid fill">
            <a:extLst>
              <a:ext uri="{FF2B5EF4-FFF2-40B4-BE49-F238E27FC236}">
                <a16:creationId xmlns:a16="http://schemas.microsoft.com/office/drawing/2014/main" id="{7304D8D6-3705-A539-172C-B1C3DC7D769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285960" y="1119680"/>
            <a:ext cx="271614" cy="278750"/>
          </a:xfrm>
          <a:prstGeom prst="rect">
            <a:avLst/>
          </a:prstGeom>
        </xdr:spPr>
      </xdr:pic>
    </xdr:grpSp>
    <xdr:clientData/>
  </xdr:twoCellAnchor>
  <xdr:twoCellAnchor>
    <xdr:from>
      <xdr:col>4</xdr:col>
      <xdr:colOff>92492</xdr:colOff>
      <xdr:row>12</xdr:row>
      <xdr:rowOff>145677</xdr:rowOff>
    </xdr:from>
    <xdr:to>
      <xdr:col>9</xdr:col>
      <xdr:colOff>108410</xdr:colOff>
      <xdr:row>37</xdr:row>
      <xdr:rowOff>105067</xdr:rowOff>
    </xdr:to>
    <xdr:sp macro="" textlink="">
      <xdr:nvSpPr>
        <xdr:cNvPr id="51" name="Rectangle: Rounded Corners 50">
          <a:extLst>
            <a:ext uri="{FF2B5EF4-FFF2-40B4-BE49-F238E27FC236}">
              <a16:creationId xmlns:a16="http://schemas.microsoft.com/office/drawing/2014/main" id="{C7355CEC-B5A6-E4C2-EBA2-08ABE561EBD3}"/>
            </a:ext>
          </a:extLst>
        </xdr:cNvPr>
        <xdr:cNvSpPr/>
      </xdr:nvSpPr>
      <xdr:spPr>
        <a:xfrm>
          <a:off x="2512963" y="2308412"/>
          <a:ext cx="3041506" cy="4721890"/>
        </a:xfrm>
        <a:prstGeom prst="roundRect">
          <a:avLst>
            <a:gd name="adj" fmla="val 8056"/>
          </a:avLst>
        </a:prstGeom>
        <a:solidFill>
          <a:schemeClr val="bg1"/>
        </a:solidFill>
        <a:ln>
          <a:noFill/>
        </a:ln>
        <a:effectLst>
          <a:outerShdw blurRad="50800" dist="1905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latin typeface="Georgia" panose="02040502050405020303" pitchFamily="18" charset="0"/>
          </a:endParaRPr>
        </a:p>
      </xdr:txBody>
    </xdr:sp>
    <xdr:clientData/>
  </xdr:twoCellAnchor>
  <xdr:twoCellAnchor>
    <xdr:from>
      <xdr:col>4</xdr:col>
      <xdr:colOff>127279</xdr:colOff>
      <xdr:row>14</xdr:row>
      <xdr:rowOff>1577</xdr:rowOff>
    </xdr:from>
    <xdr:to>
      <xdr:col>9</xdr:col>
      <xdr:colOff>73623</xdr:colOff>
      <xdr:row>37</xdr:row>
      <xdr:rowOff>105644</xdr:rowOff>
    </xdr:to>
    <xdr:graphicFrame macro="">
      <xdr:nvGraphicFramePr>
        <xdr:cNvPr id="18" name="Chart 33">
          <a:extLst>
            <a:ext uri="{FF2B5EF4-FFF2-40B4-BE49-F238E27FC236}">
              <a16:creationId xmlns:a16="http://schemas.microsoft.com/office/drawing/2014/main" id="{A9BDCE61-E59F-4E1A-B56F-2C7BF59F11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58656</xdr:colOff>
      <xdr:row>12</xdr:row>
      <xdr:rowOff>152194</xdr:rowOff>
    </xdr:from>
    <xdr:to>
      <xdr:col>8</xdr:col>
      <xdr:colOff>142244</xdr:colOff>
      <xdr:row>14</xdr:row>
      <xdr:rowOff>168865</xdr:rowOff>
    </xdr:to>
    <xdr:sp macro="" textlink="">
      <xdr:nvSpPr>
        <xdr:cNvPr id="2061" name="TextBox 2060">
          <a:extLst>
            <a:ext uri="{FF2B5EF4-FFF2-40B4-BE49-F238E27FC236}">
              <a16:creationId xmlns:a16="http://schemas.microsoft.com/office/drawing/2014/main" id="{6972F77E-6803-4529-B22E-2AA43F749006}"/>
            </a:ext>
          </a:extLst>
        </xdr:cNvPr>
        <xdr:cNvSpPr txBox="1"/>
      </xdr:nvSpPr>
      <xdr:spPr>
        <a:xfrm>
          <a:off x="3084244" y="2314929"/>
          <a:ext cx="1898941" cy="3976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050" b="1">
              <a:solidFill>
                <a:srgbClr val="006166"/>
              </a:solidFill>
              <a:latin typeface="Georgia" panose="02040502050405020303" pitchFamily="18" charset="0"/>
            </a:rPr>
            <a:t>Purchasing</a:t>
          </a:r>
          <a:r>
            <a:rPr lang="en-US" sz="1050" b="1" baseline="0">
              <a:solidFill>
                <a:srgbClr val="006166"/>
              </a:solidFill>
              <a:latin typeface="Georgia" panose="02040502050405020303" pitchFamily="18" charset="0"/>
            </a:rPr>
            <a:t> Behaviour by</a:t>
          </a:r>
        </a:p>
        <a:p>
          <a:pPr algn="ctr"/>
          <a:r>
            <a:rPr lang="en-US" sz="1050" b="1" baseline="0">
              <a:solidFill>
                <a:srgbClr val="006166"/>
              </a:solidFill>
              <a:latin typeface="Georgia" panose="02040502050405020303" pitchFamily="18" charset="0"/>
            </a:rPr>
            <a:t>Age Distribution</a:t>
          </a:r>
        </a:p>
      </xdr:txBody>
    </xdr:sp>
    <xdr:clientData/>
  </xdr:twoCellAnchor>
  <xdr:oneCellAnchor>
    <xdr:from>
      <xdr:col>10</xdr:col>
      <xdr:colOff>216947</xdr:colOff>
      <xdr:row>9</xdr:row>
      <xdr:rowOff>85839</xdr:rowOff>
    </xdr:from>
    <xdr:ext cx="1922898" cy="398314"/>
    <xdr:sp macro="" textlink="">
      <xdr:nvSpPr>
        <xdr:cNvPr id="2066" name="TextBox 2065">
          <a:extLst>
            <a:ext uri="{FF2B5EF4-FFF2-40B4-BE49-F238E27FC236}">
              <a16:creationId xmlns:a16="http://schemas.microsoft.com/office/drawing/2014/main" id="{255893B8-DBE2-3E6D-3F06-15C30C39BCDC}"/>
            </a:ext>
          </a:extLst>
        </xdr:cNvPr>
        <xdr:cNvSpPr txBox="1"/>
      </xdr:nvSpPr>
      <xdr:spPr>
        <a:xfrm>
          <a:off x="6268123" y="1677074"/>
          <a:ext cx="1922898" cy="398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050" b="1">
              <a:solidFill>
                <a:srgbClr val="006166"/>
              </a:solidFill>
              <a:latin typeface="Georgia" panose="02040502050405020303" pitchFamily="18" charset="0"/>
            </a:rPr>
            <a:t>Purchasing</a:t>
          </a:r>
          <a:r>
            <a:rPr lang="en-US" sz="1050" b="1" baseline="0">
              <a:solidFill>
                <a:srgbClr val="006166"/>
              </a:solidFill>
              <a:latin typeface="Georgia" panose="02040502050405020303" pitchFamily="18" charset="0"/>
            </a:rPr>
            <a:t> Behaviour by</a:t>
          </a:r>
        </a:p>
        <a:p>
          <a:pPr algn="ctr"/>
          <a:r>
            <a:rPr lang="en-US" sz="1050" b="1" baseline="0">
              <a:solidFill>
                <a:srgbClr val="006166"/>
              </a:solidFill>
              <a:latin typeface="Georgia" panose="02040502050405020303" pitchFamily="18" charset="0"/>
            </a:rPr>
            <a:t>Gender Analysis</a:t>
          </a:r>
        </a:p>
      </xdr:txBody>
    </xdr:sp>
    <xdr:clientData/>
  </xdr:oneCellAnchor>
  <xdr:oneCellAnchor>
    <xdr:from>
      <xdr:col>15</xdr:col>
      <xdr:colOff>372029</xdr:colOff>
      <xdr:row>9</xdr:row>
      <xdr:rowOff>85839</xdr:rowOff>
    </xdr:from>
    <xdr:ext cx="1922898" cy="398314"/>
    <xdr:sp macro="" textlink="">
      <xdr:nvSpPr>
        <xdr:cNvPr id="2067" name="TextBox 2066">
          <a:extLst>
            <a:ext uri="{FF2B5EF4-FFF2-40B4-BE49-F238E27FC236}">
              <a16:creationId xmlns:a16="http://schemas.microsoft.com/office/drawing/2014/main" id="{37A186B4-1A47-26D4-0BDF-3382AA5AC144}"/>
            </a:ext>
          </a:extLst>
        </xdr:cNvPr>
        <xdr:cNvSpPr txBox="1"/>
      </xdr:nvSpPr>
      <xdr:spPr>
        <a:xfrm>
          <a:off x="10181684" y="1760925"/>
          <a:ext cx="1922898" cy="398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050" b="1">
              <a:solidFill>
                <a:srgbClr val="006166"/>
              </a:solidFill>
              <a:latin typeface="Georgia" panose="02040502050405020303" pitchFamily="18" charset="0"/>
            </a:rPr>
            <a:t>Purchasing</a:t>
          </a:r>
          <a:r>
            <a:rPr lang="en-US" sz="1050" b="1" baseline="0">
              <a:solidFill>
                <a:srgbClr val="006166"/>
              </a:solidFill>
              <a:latin typeface="Georgia" panose="02040502050405020303" pitchFamily="18" charset="0"/>
            </a:rPr>
            <a:t> Behaviour by</a:t>
          </a:r>
        </a:p>
        <a:p>
          <a:pPr algn="ctr"/>
          <a:r>
            <a:rPr lang="en-US" sz="1050" b="1" baseline="0">
              <a:solidFill>
                <a:srgbClr val="006166"/>
              </a:solidFill>
              <a:latin typeface="Georgia" panose="02040502050405020303" pitchFamily="18" charset="0"/>
            </a:rPr>
            <a:t>Income Analysis</a:t>
          </a:r>
        </a:p>
      </xdr:txBody>
    </xdr:sp>
    <xdr:clientData/>
  </xdr:oneCellAnchor>
  <xdr:oneCellAnchor>
    <xdr:from>
      <xdr:col>10</xdr:col>
      <xdr:colOff>526220</xdr:colOff>
      <xdr:row>24</xdr:row>
      <xdr:rowOff>63065</xdr:rowOff>
    </xdr:from>
    <xdr:ext cx="1922898" cy="398314"/>
    <xdr:sp macro="" textlink="">
      <xdr:nvSpPr>
        <xdr:cNvPr id="2068" name="TextBox 2067">
          <a:extLst>
            <a:ext uri="{FF2B5EF4-FFF2-40B4-BE49-F238E27FC236}">
              <a16:creationId xmlns:a16="http://schemas.microsoft.com/office/drawing/2014/main" id="{5F93A107-D1F6-0C71-6960-46FB4C19BE48}"/>
            </a:ext>
          </a:extLst>
        </xdr:cNvPr>
        <xdr:cNvSpPr txBox="1"/>
      </xdr:nvSpPr>
      <xdr:spPr>
        <a:xfrm>
          <a:off x="7270358" y="4529962"/>
          <a:ext cx="1922898" cy="398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050" b="1">
              <a:solidFill>
                <a:srgbClr val="006166"/>
              </a:solidFill>
              <a:latin typeface="Georgia" panose="02040502050405020303" pitchFamily="18" charset="0"/>
            </a:rPr>
            <a:t>Purchasing</a:t>
          </a:r>
          <a:r>
            <a:rPr lang="en-US" sz="1050" b="1" baseline="0">
              <a:solidFill>
                <a:srgbClr val="006166"/>
              </a:solidFill>
              <a:latin typeface="Georgia" panose="02040502050405020303" pitchFamily="18" charset="0"/>
            </a:rPr>
            <a:t> Behaviour by</a:t>
          </a:r>
        </a:p>
        <a:p>
          <a:pPr algn="ctr"/>
          <a:r>
            <a:rPr lang="en-US" sz="1050" b="1" baseline="0">
              <a:solidFill>
                <a:srgbClr val="006166"/>
              </a:solidFill>
              <a:latin typeface="Georgia" panose="02040502050405020303" pitchFamily="18" charset="0"/>
            </a:rPr>
            <a:t>Education Level</a:t>
          </a:r>
        </a:p>
      </xdr:txBody>
    </xdr:sp>
    <xdr:clientData/>
  </xdr:oneCellAnchor>
  <xdr:oneCellAnchor>
    <xdr:from>
      <xdr:col>16</xdr:col>
      <xdr:colOff>63561</xdr:colOff>
      <xdr:row>24</xdr:row>
      <xdr:rowOff>63065</xdr:rowOff>
    </xdr:from>
    <xdr:ext cx="1922898" cy="398314"/>
    <xdr:sp macro="" textlink="">
      <xdr:nvSpPr>
        <xdr:cNvPr id="2069" name="TextBox 2068">
          <a:extLst>
            <a:ext uri="{FF2B5EF4-FFF2-40B4-BE49-F238E27FC236}">
              <a16:creationId xmlns:a16="http://schemas.microsoft.com/office/drawing/2014/main" id="{2263EDEE-A00A-30A7-016E-546CF897BCDD}"/>
            </a:ext>
          </a:extLst>
        </xdr:cNvPr>
        <xdr:cNvSpPr txBox="1"/>
      </xdr:nvSpPr>
      <xdr:spPr>
        <a:xfrm>
          <a:off x="10486320" y="4529962"/>
          <a:ext cx="1922898" cy="398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050" b="1">
              <a:solidFill>
                <a:srgbClr val="006166"/>
              </a:solidFill>
              <a:latin typeface="Georgia" panose="02040502050405020303" pitchFamily="18" charset="0"/>
            </a:rPr>
            <a:t>Purchasing</a:t>
          </a:r>
          <a:r>
            <a:rPr lang="en-US" sz="1050" b="1" baseline="0">
              <a:solidFill>
                <a:srgbClr val="006166"/>
              </a:solidFill>
              <a:latin typeface="Georgia" panose="02040502050405020303" pitchFamily="18" charset="0"/>
            </a:rPr>
            <a:t> Behaviour by</a:t>
          </a:r>
        </a:p>
        <a:p>
          <a:pPr algn="ctr"/>
          <a:r>
            <a:rPr lang="en-US" sz="1050" b="1" baseline="0">
              <a:solidFill>
                <a:srgbClr val="006166"/>
              </a:solidFill>
              <a:latin typeface="Georgia" panose="02040502050405020303" pitchFamily="18" charset="0"/>
            </a:rPr>
            <a:t>Regional Comparison</a:t>
          </a:r>
        </a:p>
      </xdr:txBody>
    </xdr:sp>
    <xdr:clientData/>
  </xdr:oneCellAnchor>
  <xdr:twoCellAnchor>
    <xdr:from>
      <xdr:col>7</xdr:col>
      <xdr:colOff>548113</xdr:colOff>
      <xdr:row>1</xdr:row>
      <xdr:rowOff>129276</xdr:rowOff>
    </xdr:from>
    <xdr:to>
      <xdr:col>15</xdr:col>
      <xdr:colOff>546753</xdr:colOff>
      <xdr:row>4</xdr:row>
      <xdr:rowOff>28114</xdr:rowOff>
    </xdr:to>
    <xdr:grpSp>
      <xdr:nvGrpSpPr>
        <xdr:cNvPr id="2087" name="Group 2086">
          <a:extLst>
            <a:ext uri="{FF2B5EF4-FFF2-40B4-BE49-F238E27FC236}">
              <a16:creationId xmlns:a16="http://schemas.microsoft.com/office/drawing/2014/main" id="{954E4FC7-6F48-032F-964C-EF9F382DE97D}"/>
            </a:ext>
          </a:extLst>
        </xdr:cNvPr>
        <xdr:cNvGrpSpPr/>
      </xdr:nvGrpSpPr>
      <xdr:grpSpPr>
        <a:xfrm>
          <a:off x="4783937" y="196511"/>
          <a:ext cx="4839581" cy="470338"/>
          <a:chOff x="5452941" y="315397"/>
          <a:chExt cx="4903467" cy="457200"/>
        </a:xfrm>
      </xdr:grpSpPr>
      <xdr:pic>
        <xdr:nvPicPr>
          <xdr:cNvPr id="2064" name="Graphic 2063" descr="Cycling with solid fill">
            <a:extLst>
              <a:ext uri="{FF2B5EF4-FFF2-40B4-BE49-F238E27FC236}">
                <a16:creationId xmlns:a16="http://schemas.microsoft.com/office/drawing/2014/main" id="{FEDCB234-3202-999A-73EE-55BDE452C3F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452941" y="315397"/>
            <a:ext cx="457200" cy="457200"/>
          </a:xfrm>
          <a:prstGeom prst="rect">
            <a:avLst/>
          </a:prstGeom>
        </xdr:spPr>
      </xdr:pic>
      <xdr:grpSp>
        <xdr:nvGrpSpPr>
          <xdr:cNvPr id="2086" name="Group 2085">
            <a:extLst>
              <a:ext uri="{FF2B5EF4-FFF2-40B4-BE49-F238E27FC236}">
                <a16:creationId xmlns:a16="http://schemas.microsoft.com/office/drawing/2014/main" id="{A1BDA3FC-AFC8-9351-0C19-2C2936B814A3}"/>
              </a:ext>
            </a:extLst>
          </xdr:cNvPr>
          <xdr:cNvGrpSpPr/>
        </xdr:nvGrpSpPr>
        <xdr:grpSpPr>
          <a:xfrm>
            <a:off x="5914166" y="322975"/>
            <a:ext cx="4442242" cy="442044"/>
            <a:chOff x="5914166" y="322975"/>
            <a:chExt cx="4442242" cy="442044"/>
          </a:xfrm>
        </xdr:grpSpPr>
        <xdr:sp macro="" textlink="">
          <xdr:nvSpPr>
            <xdr:cNvPr id="2056" name="TextBox 2055">
              <a:extLst>
                <a:ext uri="{FF2B5EF4-FFF2-40B4-BE49-F238E27FC236}">
                  <a16:creationId xmlns:a16="http://schemas.microsoft.com/office/drawing/2014/main" id="{2FBC0270-BD25-9FE5-2782-8FB4304455CF}"/>
                </a:ext>
              </a:extLst>
            </xdr:cNvPr>
            <xdr:cNvSpPr txBox="1"/>
          </xdr:nvSpPr>
          <xdr:spPr>
            <a:xfrm>
              <a:off x="5914166" y="322975"/>
              <a:ext cx="4442242" cy="4420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2400" b="1">
                  <a:solidFill>
                    <a:srgbClr val="006166"/>
                  </a:solidFill>
                  <a:latin typeface="Georgia" panose="02040502050405020303" pitchFamily="18" charset="0"/>
                </a:rPr>
                <a:t>BIKE SALES DASHBOARD</a:t>
              </a:r>
            </a:p>
          </xdr:txBody>
        </xdr:sp>
        <xdr:grpSp>
          <xdr:nvGrpSpPr>
            <xdr:cNvPr id="2084" name="Group 2083">
              <a:extLst>
                <a:ext uri="{FF2B5EF4-FFF2-40B4-BE49-F238E27FC236}">
                  <a16:creationId xmlns:a16="http://schemas.microsoft.com/office/drawing/2014/main" id="{8651E303-AEF6-5329-8A33-765A514898D0}"/>
                </a:ext>
              </a:extLst>
            </xdr:cNvPr>
            <xdr:cNvGrpSpPr/>
          </xdr:nvGrpSpPr>
          <xdr:grpSpPr>
            <a:xfrm>
              <a:off x="6568943" y="718682"/>
              <a:ext cx="3132688" cy="0"/>
              <a:chOff x="6503516" y="718682"/>
              <a:chExt cx="3132688" cy="0"/>
            </a:xfrm>
          </xdr:grpSpPr>
          <xdr:cxnSp macro="">
            <xdr:nvCxnSpPr>
              <xdr:cNvPr id="2082" name="Straight Connector 2081">
                <a:extLst>
                  <a:ext uri="{FF2B5EF4-FFF2-40B4-BE49-F238E27FC236}">
                    <a16:creationId xmlns:a16="http://schemas.microsoft.com/office/drawing/2014/main" id="{76A022E8-E0F4-412D-BB6F-8E0A493B6B88}"/>
                  </a:ext>
                </a:extLst>
              </xdr:cNvPr>
              <xdr:cNvCxnSpPr/>
            </xdr:nvCxnSpPr>
            <xdr:spPr>
              <a:xfrm>
                <a:off x="6503516" y="718682"/>
                <a:ext cx="1644599" cy="0"/>
              </a:xfrm>
              <a:prstGeom prst="line">
                <a:avLst/>
              </a:prstGeom>
              <a:ln w="19050">
                <a:solidFill>
                  <a:srgbClr val="FFC000"/>
                </a:solidFill>
              </a:ln>
            </xdr:spPr>
            <xdr:style>
              <a:lnRef idx="1">
                <a:schemeClr val="accent1"/>
              </a:lnRef>
              <a:fillRef idx="0">
                <a:schemeClr val="accent1"/>
              </a:fillRef>
              <a:effectRef idx="0">
                <a:schemeClr val="accent1"/>
              </a:effectRef>
              <a:fontRef idx="minor">
                <a:schemeClr val="tx1"/>
              </a:fontRef>
            </xdr:style>
          </xdr:cxnSp>
          <xdr:cxnSp macro="">
            <xdr:nvCxnSpPr>
              <xdr:cNvPr id="2083" name="Straight Connector 2082">
                <a:extLst>
                  <a:ext uri="{FF2B5EF4-FFF2-40B4-BE49-F238E27FC236}">
                    <a16:creationId xmlns:a16="http://schemas.microsoft.com/office/drawing/2014/main" id="{F43E5B89-2A1E-F20D-F4F3-82175C004022}"/>
                  </a:ext>
                </a:extLst>
              </xdr:cNvPr>
              <xdr:cNvCxnSpPr/>
            </xdr:nvCxnSpPr>
            <xdr:spPr>
              <a:xfrm>
                <a:off x="7991605" y="718682"/>
                <a:ext cx="1644599" cy="0"/>
              </a:xfrm>
              <a:prstGeom prst="line">
                <a:avLst/>
              </a:prstGeom>
              <a:ln w="19050">
                <a:solidFill>
                  <a:srgbClr val="002060"/>
                </a:solidFill>
              </a:ln>
            </xdr:spPr>
            <xdr:style>
              <a:lnRef idx="1">
                <a:schemeClr val="accent1"/>
              </a:lnRef>
              <a:fillRef idx="0">
                <a:schemeClr val="accent1"/>
              </a:fillRef>
              <a:effectRef idx="0">
                <a:schemeClr val="accent1"/>
              </a:effectRef>
              <a:fontRef idx="minor">
                <a:schemeClr val="tx1"/>
              </a:fontRef>
            </xdr:style>
          </xdr:cxnSp>
        </xdr:grpSp>
      </xdr:grpSp>
    </xdr:grpSp>
    <xdr:clientData/>
  </xdr:twoCellAnchor>
  <xdr:twoCellAnchor>
    <xdr:from>
      <xdr:col>1</xdr:col>
      <xdr:colOff>128852</xdr:colOff>
      <xdr:row>4</xdr:row>
      <xdr:rowOff>46668</xdr:rowOff>
    </xdr:from>
    <xdr:to>
      <xdr:col>2</xdr:col>
      <xdr:colOff>532633</xdr:colOff>
      <xdr:row>8</xdr:row>
      <xdr:rowOff>36042</xdr:rowOff>
    </xdr:to>
    <xdr:grpSp>
      <xdr:nvGrpSpPr>
        <xdr:cNvPr id="2090" name="Group 2089">
          <a:extLst>
            <a:ext uri="{FF2B5EF4-FFF2-40B4-BE49-F238E27FC236}">
              <a16:creationId xmlns:a16="http://schemas.microsoft.com/office/drawing/2014/main" id="{FF446595-4E1C-F827-4C42-045D18324E4C}"/>
            </a:ext>
          </a:extLst>
        </xdr:cNvPr>
        <xdr:cNvGrpSpPr/>
      </xdr:nvGrpSpPr>
      <xdr:grpSpPr>
        <a:xfrm>
          <a:off x="733970" y="685403"/>
          <a:ext cx="1008898" cy="751374"/>
          <a:chOff x="1353169" y="850924"/>
          <a:chExt cx="1020664" cy="734487"/>
        </a:xfrm>
      </xdr:grpSpPr>
      <xdr:sp macro="" textlink="">
        <xdr:nvSpPr>
          <xdr:cNvPr id="2057" name="TextBox 2056">
            <a:extLst>
              <a:ext uri="{FF2B5EF4-FFF2-40B4-BE49-F238E27FC236}">
                <a16:creationId xmlns:a16="http://schemas.microsoft.com/office/drawing/2014/main" id="{935B349E-2C3B-4848-B614-51EB521D15DC}"/>
              </a:ext>
            </a:extLst>
          </xdr:cNvPr>
          <xdr:cNvSpPr txBox="1"/>
        </xdr:nvSpPr>
        <xdr:spPr>
          <a:xfrm>
            <a:off x="1353169" y="1318222"/>
            <a:ext cx="1020664" cy="2671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200" b="1">
                <a:solidFill>
                  <a:srgbClr val="006166"/>
                </a:solidFill>
                <a:latin typeface="Georgia" panose="02040502050405020303" pitchFamily="18" charset="0"/>
              </a:rPr>
              <a:t>INSIGHTS</a:t>
            </a:r>
          </a:p>
        </xdr:txBody>
      </xdr:sp>
      <xdr:pic>
        <xdr:nvPicPr>
          <xdr:cNvPr id="2080" name="Graphic 2079" descr="Fluorescent Light Bulb with solid fill">
            <a:extLst>
              <a:ext uri="{FF2B5EF4-FFF2-40B4-BE49-F238E27FC236}">
                <a16:creationId xmlns:a16="http://schemas.microsoft.com/office/drawing/2014/main" id="{C23300AE-DA3F-CF6C-6671-C9B12B19AEE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634901" y="850924"/>
            <a:ext cx="457200" cy="457200"/>
          </a:xfrm>
          <a:prstGeom prst="rect">
            <a:avLst/>
          </a:prstGeom>
        </xdr:spPr>
      </xdr:pic>
    </xdr:grpSp>
    <xdr:clientData/>
  </xdr:twoCellAnchor>
  <xdr:twoCellAnchor>
    <xdr:from>
      <xdr:col>0</xdr:col>
      <xdr:colOff>425599</xdr:colOff>
      <xdr:row>8</xdr:row>
      <xdr:rowOff>46267</xdr:rowOff>
    </xdr:from>
    <xdr:to>
      <xdr:col>3</xdr:col>
      <xdr:colOff>235887</xdr:colOff>
      <xdr:row>8</xdr:row>
      <xdr:rowOff>46267</xdr:rowOff>
    </xdr:to>
    <xdr:cxnSp macro="">
      <xdr:nvCxnSpPr>
        <xdr:cNvPr id="2060" name="Straight Connector 2059">
          <a:extLst>
            <a:ext uri="{FF2B5EF4-FFF2-40B4-BE49-F238E27FC236}">
              <a16:creationId xmlns:a16="http://schemas.microsoft.com/office/drawing/2014/main" id="{B767E8D1-BEA9-4A13-06A8-5B8C26CC3ECB}"/>
            </a:ext>
          </a:extLst>
        </xdr:cNvPr>
        <xdr:cNvCxnSpPr/>
      </xdr:nvCxnSpPr>
      <xdr:spPr>
        <a:xfrm>
          <a:off x="425599" y="1447002"/>
          <a:ext cx="1625641" cy="0"/>
        </a:xfrm>
        <a:prstGeom prst="line">
          <a:avLst/>
        </a:prstGeom>
        <a:ln w="19050">
          <a:solidFill>
            <a:srgbClr val="FFC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211247</xdr:colOff>
      <xdr:row>12</xdr:row>
      <xdr:rowOff>65800</xdr:rowOff>
    </xdr:from>
    <xdr:to>
      <xdr:col>3</xdr:col>
      <xdr:colOff>450238</xdr:colOff>
      <xdr:row>15</xdr:row>
      <xdr:rowOff>121393</xdr:rowOff>
    </xdr:to>
    <mc:AlternateContent xmlns:mc="http://schemas.openxmlformats.org/markup-compatibility/2006" xmlns:a14="http://schemas.microsoft.com/office/drawing/2010/main">
      <mc:Choice Requires="a14">
        <xdr:graphicFrame macro="">
          <xdr:nvGraphicFramePr>
            <xdr:cNvPr id="44" name="Gender 1">
              <a:extLst>
                <a:ext uri="{FF2B5EF4-FFF2-40B4-BE49-F238E27FC236}">
                  <a16:creationId xmlns:a16="http://schemas.microsoft.com/office/drawing/2014/main" id="{BAC43448-C8D9-17C9-A818-AF160579BE4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11247" y="2228535"/>
              <a:ext cx="2054344" cy="6270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211247</xdr:colOff>
      <xdr:row>15</xdr:row>
      <xdr:rowOff>138250</xdr:rowOff>
    </xdr:from>
    <xdr:to>
      <xdr:col>3</xdr:col>
      <xdr:colOff>450238</xdr:colOff>
      <xdr:row>20</xdr:row>
      <xdr:rowOff>170838</xdr:rowOff>
    </xdr:to>
    <mc:AlternateContent xmlns:mc="http://schemas.openxmlformats.org/markup-compatibility/2006" xmlns:a14="http://schemas.microsoft.com/office/drawing/2010/main">
      <mc:Choice Requires="a14">
        <xdr:graphicFrame macro="">
          <xdr:nvGraphicFramePr>
            <xdr:cNvPr id="45" name="Income Range 1">
              <a:extLst>
                <a:ext uri="{FF2B5EF4-FFF2-40B4-BE49-F238E27FC236}">
                  <a16:creationId xmlns:a16="http://schemas.microsoft.com/office/drawing/2014/main" id="{3BFA0985-8011-D260-48C9-1039A7C10AB1}"/>
                </a:ext>
              </a:extLst>
            </xdr:cNvPr>
            <xdr:cNvGraphicFramePr/>
          </xdr:nvGraphicFramePr>
          <xdr:xfrm>
            <a:off x="0" y="0"/>
            <a:ext cx="0" cy="0"/>
          </xdr:xfrm>
          <a:graphic>
            <a:graphicData uri="http://schemas.microsoft.com/office/drawing/2010/slicer">
              <sle:slicer xmlns:sle="http://schemas.microsoft.com/office/drawing/2010/slicer" name="Income Range 1"/>
            </a:graphicData>
          </a:graphic>
        </xdr:graphicFrame>
      </mc:Choice>
      <mc:Fallback xmlns="">
        <xdr:sp macro="" textlink="">
          <xdr:nvSpPr>
            <xdr:cNvPr id="0" name=""/>
            <xdr:cNvSpPr>
              <a:spLocks noTextEdit="1"/>
            </xdr:cNvSpPr>
          </xdr:nvSpPr>
          <xdr:spPr>
            <a:xfrm>
              <a:off x="211247" y="2872485"/>
              <a:ext cx="2054344" cy="9850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211247</xdr:colOff>
      <xdr:row>27</xdr:row>
      <xdr:rowOff>65135</xdr:rowOff>
    </xdr:from>
    <xdr:to>
      <xdr:col>3</xdr:col>
      <xdr:colOff>450238</xdr:colOff>
      <xdr:row>30</xdr:row>
      <xdr:rowOff>135236</xdr:rowOff>
    </xdr:to>
    <mc:AlternateContent xmlns:mc="http://schemas.openxmlformats.org/markup-compatibility/2006" xmlns:a14="http://schemas.microsoft.com/office/drawing/2010/main">
      <mc:Choice Requires="a14">
        <xdr:graphicFrame macro="">
          <xdr:nvGraphicFramePr>
            <xdr:cNvPr id="48" name="Region 1">
              <a:extLst>
                <a:ext uri="{FF2B5EF4-FFF2-40B4-BE49-F238E27FC236}">
                  <a16:creationId xmlns:a16="http://schemas.microsoft.com/office/drawing/2014/main" id="{C7427CED-BF77-14B4-FF0B-A96A181CAC3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11247" y="5085370"/>
              <a:ext cx="2054344" cy="641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211247</xdr:colOff>
      <xdr:row>20</xdr:row>
      <xdr:rowOff>187696</xdr:rowOff>
    </xdr:from>
    <xdr:to>
      <xdr:col>3</xdr:col>
      <xdr:colOff>450238</xdr:colOff>
      <xdr:row>27</xdr:row>
      <xdr:rowOff>48278</xdr:rowOff>
    </xdr:to>
    <mc:AlternateContent xmlns:mc="http://schemas.openxmlformats.org/markup-compatibility/2006" xmlns:a14="http://schemas.microsoft.com/office/drawing/2010/main">
      <mc:Choice Requires="a14">
        <xdr:graphicFrame macro="">
          <xdr:nvGraphicFramePr>
            <xdr:cNvPr id="62" name="Education 1">
              <a:extLst>
                <a:ext uri="{FF2B5EF4-FFF2-40B4-BE49-F238E27FC236}">
                  <a16:creationId xmlns:a16="http://schemas.microsoft.com/office/drawing/2014/main" id="{E7A7C2F7-79EA-318A-13C3-24044B7B9084}"/>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211247" y="3874431"/>
              <a:ext cx="2054344" cy="11940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212539</xdr:colOff>
      <xdr:row>8</xdr:row>
      <xdr:rowOff>154288</xdr:rowOff>
    </xdr:from>
    <xdr:to>
      <xdr:col>3</xdr:col>
      <xdr:colOff>448946</xdr:colOff>
      <xdr:row>12</xdr:row>
      <xdr:rowOff>48944</xdr:rowOff>
    </xdr:to>
    <mc:AlternateContent xmlns:mc="http://schemas.openxmlformats.org/markup-compatibility/2006" xmlns:a14="http://schemas.microsoft.com/office/drawing/2010/main">
      <mc:Choice Requires="a14">
        <xdr:graphicFrame macro="">
          <xdr:nvGraphicFramePr>
            <xdr:cNvPr id="2077" name="Age Range">
              <a:extLst>
                <a:ext uri="{FF2B5EF4-FFF2-40B4-BE49-F238E27FC236}">
                  <a16:creationId xmlns:a16="http://schemas.microsoft.com/office/drawing/2014/main" id="{D6DCB0AA-FC92-E503-1C0D-E0565DBBA3A7}"/>
                </a:ext>
              </a:extLst>
            </xdr:cNvPr>
            <xdr:cNvGraphicFramePr/>
          </xdr:nvGraphicFramePr>
          <xdr:xfrm>
            <a:off x="0" y="0"/>
            <a:ext cx="0" cy="0"/>
          </xdr:xfrm>
          <a:graphic>
            <a:graphicData uri="http://schemas.microsoft.com/office/drawing/2010/slicer">
              <sle:slicer xmlns:sle="http://schemas.microsoft.com/office/drawing/2010/slicer" name="Age Range"/>
            </a:graphicData>
          </a:graphic>
        </xdr:graphicFrame>
      </mc:Choice>
      <mc:Fallback xmlns="">
        <xdr:sp macro="" textlink="">
          <xdr:nvSpPr>
            <xdr:cNvPr id="0" name=""/>
            <xdr:cNvSpPr>
              <a:spLocks noTextEdit="1"/>
            </xdr:cNvSpPr>
          </xdr:nvSpPr>
          <xdr:spPr>
            <a:xfrm>
              <a:off x="212539" y="1555023"/>
              <a:ext cx="2051760" cy="6566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212539</xdr:colOff>
      <xdr:row>30</xdr:row>
      <xdr:rowOff>152094</xdr:rowOff>
    </xdr:from>
    <xdr:to>
      <xdr:col>3</xdr:col>
      <xdr:colOff>448946</xdr:colOff>
      <xdr:row>34</xdr:row>
      <xdr:rowOff>69150</xdr:rowOff>
    </xdr:to>
    <mc:AlternateContent xmlns:mc="http://schemas.openxmlformats.org/markup-compatibility/2006" xmlns:a14="http://schemas.microsoft.com/office/drawing/2010/main">
      <mc:Choice Requires="a14">
        <xdr:graphicFrame macro="">
          <xdr:nvGraphicFramePr>
            <xdr:cNvPr id="2078" name="Purchased Bike">
              <a:extLst>
                <a:ext uri="{FF2B5EF4-FFF2-40B4-BE49-F238E27FC236}">
                  <a16:creationId xmlns:a16="http://schemas.microsoft.com/office/drawing/2014/main" id="{F65E3B54-7733-4E60-7B18-2C7F7326B346}"/>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mlns="">
        <xdr:sp macro="" textlink="">
          <xdr:nvSpPr>
            <xdr:cNvPr id="0" name=""/>
            <xdr:cNvSpPr>
              <a:spLocks noTextEdit="1"/>
            </xdr:cNvSpPr>
          </xdr:nvSpPr>
          <xdr:spPr>
            <a:xfrm>
              <a:off x="212539" y="5743829"/>
              <a:ext cx="2051760" cy="6790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425599</xdr:colOff>
      <xdr:row>34</xdr:row>
      <xdr:rowOff>177171</xdr:rowOff>
    </xdr:from>
    <xdr:to>
      <xdr:col>3</xdr:col>
      <xdr:colOff>235887</xdr:colOff>
      <xdr:row>34</xdr:row>
      <xdr:rowOff>177171</xdr:rowOff>
    </xdr:to>
    <xdr:cxnSp macro="">
      <xdr:nvCxnSpPr>
        <xdr:cNvPr id="2088" name="Straight Connector 2087">
          <a:extLst>
            <a:ext uri="{FF2B5EF4-FFF2-40B4-BE49-F238E27FC236}">
              <a16:creationId xmlns:a16="http://schemas.microsoft.com/office/drawing/2014/main" id="{A5860FFC-9A0A-5313-F427-E1555DDAD63B}"/>
            </a:ext>
          </a:extLst>
        </xdr:cNvPr>
        <xdr:cNvCxnSpPr/>
      </xdr:nvCxnSpPr>
      <xdr:spPr>
        <a:xfrm>
          <a:off x="425599" y="6530906"/>
          <a:ext cx="1625641" cy="0"/>
        </a:xfrm>
        <a:prstGeom prst="line">
          <a:avLst/>
        </a:prstGeom>
        <a:ln w="19050">
          <a:solidFill>
            <a:srgbClr val="FFC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16</xdr:col>
      <xdr:colOff>566487</xdr:colOff>
      <xdr:row>28</xdr:row>
      <xdr:rowOff>100263</xdr:rowOff>
    </xdr:from>
    <xdr:to>
      <xdr:col>18</xdr:col>
      <xdr:colOff>256243</xdr:colOff>
      <xdr:row>33</xdr:row>
      <xdr:rowOff>62163</xdr:rowOff>
    </xdr:to>
    <xdr:pic>
      <xdr:nvPicPr>
        <xdr:cNvPr id="2094" name="Graphic 2093" descr="Earth globe: Americas with solid fill">
          <a:extLst>
            <a:ext uri="{FF2B5EF4-FFF2-40B4-BE49-F238E27FC236}">
              <a16:creationId xmlns:a16="http://schemas.microsoft.com/office/drawing/2014/main" id="{36FB6222-42C9-14C9-8506-1E574E40EC7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963776" y="5434263"/>
          <a:ext cx="912968" cy="914400"/>
        </a:xfrm>
        <a:prstGeom prst="rect">
          <a:avLst/>
        </a:prstGeom>
      </xdr:spPr>
    </xdr:pic>
    <xdr:clientData/>
  </xdr:twoCellAnchor>
  <xdr:twoCellAnchor>
    <xdr:from>
      <xdr:col>15</xdr:col>
      <xdr:colOff>432954</xdr:colOff>
      <xdr:row>25</xdr:row>
      <xdr:rowOff>142328</xdr:rowOff>
    </xdr:from>
    <xdr:to>
      <xdr:col>19</xdr:col>
      <xdr:colOff>389657</xdr:colOff>
      <xdr:row>37</xdr:row>
      <xdr:rowOff>111331</xdr:rowOff>
    </xdr:to>
    <xdr:graphicFrame macro="">
      <xdr:nvGraphicFramePr>
        <xdr:cNvPr id="47" name="Chart 36">
          <a:extLst>
            <a:ext uri="{FF2B5EF4-FFF2-40B4-BE49-F238E27FC236}">
              <a16:creationId xmlns:a16="http://schemas.microsoft.com/office/drawing/2014/main" id="{8C44EECA-F910-4F7D-AF58-4F1CEBFAE6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4</xdr:col>
      <xdr:colOff>92492</xdr:colOff>
      <xdr:row>9</xdr:row>
      <xdr:rowOff>74881</xdr:rowOff>
    </xdr:from>
    <xdr:to>
      <xdr:col>9</xdr:col>
      <xdr:colOff>108410</xdr:colOff>
      <xdr:row>12</xdr:row>
      <xdr:rowOff>44824</xdr:rowOff>
    </xdr:to>
    <xdr:sp macro="" textlink="">
      <xdr:nvSpPr>
        <xdr:cNvPr id="8" name="Rectangle: Rounded Corners 7">
          <a:extLst>
            <a:ext uri="{FF2B5EF4-FFF2-40B4-BE49-F238E27FC236}">
              <a16:creationId xmlns:a16="http://schemas.microsoft.com/office/drawing/2014/main" id="{4ADAF8D8-A3E2-4159-B93E-AAAB1AEAEB65}"/>
            </a:ext>
          </a:extLst>
        </xdr:cNvPr>
        <xdr:cNvSpPr/>
      </xdr:nvSpPr>
      <xdr:spPr>
        <a:xfrm>
          <a:off x="2541778" y="1666917"/>
          <a:ext cx="3077525" cy="541443"/>
        </a:xfrm>
        <a:prstGeom prst="roundRect">
          <a:avLst>
            <a:gd name="adj" fmla="val 28752"/>
          </a:avLst>
        </a:prstGeom>
        <a:solidFill>
          <a:schemeClr val="bg1"/>
        </a:solidFill>
        <a:ln>
          <a:noFill/>
        </a:ln>
        <a:effectLst>
          <a:outerShdw blurRad="50800" dist="1905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latin typeface="Georgia" panose="02040502050405020303" pitchFamily="18" charset="0"/>
          </a:endParaRPr>
        </a:p>
      </xdr:txBody>
    </xdr:sp>
    <xdr:clientData/>
  </xdr:twoCellAnchor>
  <xdr:twoCellAnchor>
    <xdr:from>
      <xdr:col>4</xdr:col>
      <xdr:colOff>393364</xdr:colOff>
      <xdr:row>9</xdr:row>
      <xdr:rowOff>168310</xdr:rowOff>
    </xdr:from>
    <xdr:to>
      <xdr:col>8</xdr:col>
      <xdr:colOff>526676</xdr:colOff>
      <xdr:row>11</xdr:row>
      <xdr:rowOff>141894</xdr:rowOff>
    </xdr:to>
    <xdr:grpSp>
      <xdr:nvGrpSpPr>
        <xdr:cNvPr id="21" name="Group 20">
          <a:extLst>
            <a:ext uri="{FF2B5EF4-FFF2-40B4-BE49-F238E27FC236}">
              <a16:creationId xmlns:a16="http://schemas.microsoft.com/office/drawing/2014/main" id="{E3828863-9501-87F4-7C86-7282E9EA70CC}"/>
            </a:ext>
          </a:extLst>
        </xdr:cNvPr>
        <xdr:cNvGrpSpPr/>
      </xdr:nvGrpSpPr>
      <xdr:grpSpPr>
        <a:xfrm>
          <a:off x="2813835" y="1759545"/>
          <a:ext cx="2553782" cy="354584"/>
          <a:chOff x="2776577" y="1760346"/>
          <a:chExt cx="2583855" cy="354584"/>
        </a:xfrm>
      </xdr:grpSpPr>
      <xdr:sp macro="" textlink="">
        <xdr:nvSpPr>
          <xdr:cNvPr id="9" name="TextBox 8">
            <a:extLst>
              <a:ext uri="{FF2B5EF4-FFF2-40B4-BE49-F238E27FC236}">
                <a16:creationId xmlns:a16="http://schemas.microsoft.com/office/drawing/2014/main" id="{B4613130-D234-428C-9DFE-D4955210AEF3}"/>
              </a:ext>
            </a:extLst>
          </xdr:cNvPr>
          <xdr:cNvSpPr txBox="1"/>
        </xdr:nvSpPr>
        <xdr:spPr>
          <a:xfrm>
            <a:off x="2776577" y="1818196"/>
            <a:ext cx="1353776" cy="2388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050" b="1" baseline="0">
                <a:solidFill>
                  <a:srgbClr val="006166"/>
                </a:solidFill>
                <a:latin typeface="Georgia" panose="02040502050405020303" pitchFamily="18" charset="0"/>
              </a:rPr>
              <a:t>Predictive Insight:</a:t>
            </a:r>
          </a:p>
        </xdr:txBody>
      </xdr:sp>
      <xdr:sp macro="" textlink="W25">
        <xdr:nvSpPr>
          <xdr:cNvPr id="5" name="TextBox 4">
            <a:extLst>
              <a:ext uri="{FF2B5EF4-FFF2-40B4-BE49-F238E27FC236}">
                <a16:creationId xmlns:a16="http://schemas.microsoft.com/office/drawing/2014/main" id="{5539B922-12E9-91FB-F520-7FE1C24F3201}"/>
              </a:ext>
            </a:extLst>
          </xdr:cNvPr>
          <xdr:cNvSpPr txBox="1"/>
        </xdr:nvSpPr>
        <xdr:spPr>
          <a:xfrm>
            <a:off x="4142908" y="1760346"/>
            <a:ext cx="1217524" cy="3545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315C1AF-71FE-4291-A7CA-22348E56B8EA}" type="TxLink">
              <a:rPr lang="en-US" sz="1600" b="1" i="0" u="none" strike="noStrike">
                <a:solidFill>
                  <a:srgbClr val="000000"/>
                </a:solidFill>
                <a:latin typeface="Georgia" panose="02040502050405020303" pitchFamily="18" charset="0"/>
                <a:cs typeface="Calibri"/>
              </a:rPr>
              <a:pPr/>
              <a:t>48.10%</a:t>
            </a:fld>
            <a:endParaRPr lang="en-US" sz="1600" b="1">
              <a:latin typeface="Georgia" panose="02040502050405020303" pitchFamily="18" charset="0"/>
            </a:endParaRPr>
          </a:p>
        </xdr:txBody>
      </xdr:sp>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batunde,Raphael,NG-Agbara" refreshedDate="46048.641498263889" createdVersion="8" refreshedVersion="8" minRefreshableVersion="3" recordCount="1000" xr:uid="{93E62A5D-F028-46E5-866A-849A5494073D}">
  <cacheSource type="worksheet">
    <worksheetSource name="Table24"/>
  </cacheSource>
  <cacheFields count="18">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ital Status" numFmtId="0">
      <sharedItems count="2">
        <s v="M"/>
        <s v="S"/>
      </sharedItems>
    </cacheField>
    <cacheField name="Gender" numFmtId="0">
      <sharedItems count="2">
        <s v="F"/>
        <s v="M"/>
      </sharedItems>
    </cacheField>
    <cacheField name="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Range" numFmtId="0">
      <sharedItems count="3">
        <s v="Middle Age"/>
        <s v="Old Age"/>
        <s v="Young Age"/>
      </sharedItems>
    </cacheField>
    <cacheField name="Purchased Bike" numFmtId="0">
      <sharedItems count="2">
        <s v="No"/>
        <s v="Yes"/>
      </sharedItems>
    </cacheField>
    <cacheField name="Income Range" numFmtId="0">
      <sharedItems count="3">
        <s v="Low Income"/>
        <s v="Average Income"/>
        <s v="High Income"/>
      </sharedItems>
    </cacheField>
    <cacheField name="Purchase Flag" numFmtId="0">
      <sharedItems containsSemiMixedTypes="0" containsString="0" containsNumber="1" containsInteger="1" minValue="0" maxValue="1" count="2">
        <n v="0"/>
        <n v="1"/>
      </sharedItems>
    </cacheField>
    <cacheField name="Field1" numFmtId="0" formula="'Purchased Bike'" databaseField="0"/>
    <cacheField name="Purchase Rate" numFmtId="0" formula="'Purchase Flag'" databaseField="0"/>
  </cacheFields>
  <extLst>
    <ext xmlns:x14="http://schemas.microsoft.com/office/spreadsheetml/2009/9/main" uri="{725AE2AE-9491-48be-B2B4-4EB974FC3084}">
      <x14:pivotCacheDefinition pivotCacheId="794691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x v="0"/>
    <x v="0"/>
    <x v="0"/>
    <n v="42"/>
    <x v="0"/>
    <x v="0"/>
    <x v="0"/>
    <x v="0"/>
  </r>
  <r>
    <x v="1"/>
    <x v="0"/>
    <x v="1"/>
    <x v="1"/>
    <x v="1"/>
    <x v="1"/>
    <x v="1"/>
    <x v="0"/>
    <x v="1"/>
    <x v="0"/>
    <x v="0"/>
    <n v="43"/>
    <x v="0"/>
    <x v="0"/>
    <x v="0"/>
    <x v="0"/>
  </r>
  <r>
    <x v="2"/>
    <x v="0"/>
    <x v="1"/>
    <x v="2"/>
    <x v="2"/>
    <x v="1"/>
    <x v="2"/>
    <x v="1"/>
    <x v="2"/>
    <x v="1"/>
    <x v="0"/>
    <n v="60"/>
    <x v="1"/>
    <x v="0"/>
    <x v="1"/>
    <x v="0"/>
  </r>
  <r>
    <x v="3"/>
    <x v="1"/>
    <x v="1"/>
    <x v="3"/>
    <x v="3"/>
    <x v="0"/>
    <x v="2"/>
    <x v="0"/>
    <x v="1"/>
    <x v="2"/>
    <x v="1"/>
    <n v="41"/>
    <x v="0"/>
    <x v="1"/>
    <x v="0"/>
    <x v="1"/>
  </r>
  <r>
    <x v="4"/>
    <x v="1"/>
    <x v="1"/>
    <x v="1"/>
    <x v="3"/>
    <x v="0"/>
    <x v="1"/>
    <x v="1"/>
    <x v="0"/>
    <x v="0"/>
    <x v="0"/>
    <n v="36"/>
    <x v="0"/>
    <x v="1"/>
    <x v="0"/>
    <x v="1"/>
  </r>
  <r>
    <x v="5"/>
    <x v="0"/>
    <x v="0"/>
    <x v="4"/>
    <x v="4"/>
    <x v="1"/>
    <x v="3"/>
    <x v="0"/>
    <x v="0"/>
    <x v="3"/>
    <x v="0"/>
    <n v="50"/>
    <x v="0"/>
    <x v="0"/>
    <x v="0"/>
    <x v="0"/>
  </r>
  <r>
    <x v="6"/>
    <x v="1"/>
    <x v="1"/>
    <x v="5"/>
    <x v="4"/>
    <x v="2"/>
    <x v="4"/>
    <x v="0"/>
    <x v="3"/>
    <x v="0"/>
    <x v="1"/>
    <n v="33"/>
    <x v="0"/>
    <x v="1"/>
    <x v="2"/>
    <x v="1"/>
  </r>
  <r>
    <x v="7"/>
    <x v="0"/>
    <x v="1"/>
    <x v="0"/>
    <x v="0"/>
    <x v="0"/>
    <x v="0"/>
    <x v="0"/>
    <x v="0"/>
    <x v="0"/>
    <x v="0"/>
    <n v="43"/>
    <x v="0"/>
    <x v="1"/>
    <x v="0"/>
    <x v="1"/>
  </r>
  <r>
    <x v="8"/>
    <x v="0"/>
    <x v="1"/>
    <x v="6"/>
    <x v="4"/>
    <x v="3"/>
    <x v="1"/>
    <x v="0"/>
    <x v="2"/>
    <x v="2"/>
    <x v="1"/>
    <n v="58"/>
    <x v="1"/>
    <x v="0"/>
    <x v="0"/>
    <x v="0"/>
  </r>
  <r>
    <x v="9"/>
    <x v="0"/>
    <x v="1"/>
    <x v="7"/>
    <x v="4"/>
    <x v="1"/>
    <x v="3"/>
    <x v="0"/>
    <x v="1"/>
    <x v="0"/>
    <x v="0"/>
    <n v="40"/>
    <x v="0"/>
    <x v="1"/>
    <x v="1"/>
    <x v="1"/>
  </r>
  <r>
    <x v="10"/>
    <x v="0"/>
    <x v="0"/>
    <x v="1"/>
    <x v="1"/>
    <x v="2"/>
    <x v="0"/>
    <x v="1"/>
    <x v="2"/>
    <x v="3"/>
    <x v="1"/>
    <n v="54"/>
    <x v="1"/>
    <x v="1"/>
    <x v="0"/>
    <x v="1"/>
  </r>
  <r>
    <x v="11"/>
    <x v="1"/>
    <x v="0"/>
    <x v="8"/>
    <x v="3"/>
    <x v="0"/>
    <x v="2"/>
    <x v="1"/>
    <x v="3"/>
    <x v="4"/>
    <x v="1"/>
    <n v="36"/>
    <x v="0"/>
    <x v="0"/>
    <x v="1"/>
    <x v="0"/>
  </r>
  <r>
    <x v="12"/>
    <x v="0"/>
    <x v="1"/>
    <x v="9"/>
    <x v="2"/>
    <x v="1"/>
    <x v="2"/>
    <x v="0"/>
    <x v="0"/>
    <x v="0"/>
    <x v="0"/>
    <n v="55"/>
    <x v="1"/>
    <x v="0"/>
    <x v="2"/>
    <x v="0"/>
  </r>
  <r>
    <x v="13"/>
    <x v="0"/>
    <x v="1"/>
    <x v="0"/>
    <x v="4"/>
    <x v="1"/>
    <x v="1"/>
    <x v="0"/>
    <x v="1"/>
    <x v="3"/>
    <x v="0"/>
    <n v="35"/>
    <x v="0"/>
    <x v="1"/>
    <x v="0"/>
    <x v="1"/>
  </r>
  <r>
    <x v="14"/>
    <x v="1"/>
    <x v="1"/>
    <x v="10"/>
    <x v="0"/>
    <x v="1"/>
    <x v="0"/>
    <x v="1"/>
    <x v="1"/>
    <x v="0"/>
    <x v="1"/>
    <n v="45"/>
    <x v="0"/>
    <x v="1"/>
    <x v="0"/>
    <x v="1"/>
  </r>
  <r>
    <x v="15"/>
    <x v="1"/>
    <x v="0"/>
    <x v="4"/>
    <x v="4"/>
    <x v="2"/>
    <x v="3"/>
    <x v="0"/>
    <x v="1"/>
    <x v="0"/>
    <x v="0"/>
    <n v="38"/>
    <x v="0"/>
    <x v="1"/>
    <x v="0"/>
    <x v="1"/>
  </r>
  <r>
    <x v="16"/>
    <x v="1"/>
    <x v="1"/>
    <x v="1"/>
    <x v="1"/>
    <x v="1"/>
    <x v="1"/>
    <x v="1"/>
    <x v="2"/>
    <x v="3"/>
    <x v="1"/>
    <n v="59"/>
    <x v="1"/>
    <x v="1"/>
    <x v="0"/>
    <x v="1"/>
  </r>
  <r>
    <x v="17"/>
    <x v="0"/>
    <x v="0"/>
    <x v="1"/>
    <x v="0"/>
    <x v="0"/>
    <x v="1"/>
    <x v="0"/>
    <x v="0"/>
    <x v="0"/>
    <x v="0"/>
    <n v="47"/>
    <x v="0"/>
    <x v="0"/>
    <x v="0"/>
    <x v="0"/>
  </r>
  <r>
    <x v="18"/>
    <x v="1"/>
    <x v="1"/>
    <x v="0"/>
    <x v="4"/>
    <x v="1"/>
    <x v="1"/>
    <x v="0"/>
    <x v="1"/>
    <x v="3"/>
    <x v="0"/>
    <n v="35"/>
    <x v="0"/>
    <x v="1"/>
    <x v="0"/>
    <x v="1"/>
  </r>
  <r>
    <x v="19"/>
    <x v="1"/>
    <x v="1"/>
    <x v="6"/>
    <x v="4"/>
    <x v="3"/>
    <x v="1"/>
    <x v="0"/>
    <x v="2"/>
    <x v="2"/>
    <x v="1"/>
    <n v="55"/>
    <x v="1"/>
    <x v="1"/>
    <x v="0"/>
    <x v="1"/>
  </r>
  <r>
    <x v="20"/>
    <x v="0"/>
    <x v="0"/>
    <x v="0"/>
    <x v="3"/>
    <x v="4"/>
    <x v="1"/>
    <x v="0"/>
    <x v="0"/>
    <x v="0"/>
    <x v="0"/>
    <n v="36"/>
    <x v="0"/>
    <x v="1"/>
    <x v="0"/>
    <x v="1"/>
  </r>
  <r>
    <x v="21"/>
    <x v="1"/>
    <x v="0"/>
    <x v="2"/>
    <x v="3"/>
    <x v="0"/>
    <x v="2"/>
    <x v="0"/>
    <x v="3"/>
    <x v="4"/>
    <x v="1"/>
    <n v="35"/>
    <x v="0"/>
    <x v="0"/>
    <x v="1"/>
    <x v="0"/>
  </r>
  <r>
    <x v="22"/>
    <x v="1"/>
    <x v="1"/>
    <x v="0"/>
    <x v="4"/>
    <x v="1"/>
    <x v="1"/>
    <x v="0"/>
    <x v="0"/>
    <x v="3"/>
    <x v="0"/>
    <n v="35"/>
    <x v="0"/>
    <x v="1"/>
    <x v="0"/>
    <x v="1"/>
  </r>
  <r>
    <x v="23"/>
    <x v="0"/>
    <x v="0"/>
    <x v="2"/>
    <x v="2"/>
    <x v="2"/>
    <x v="4"/>
    <x v="1"/>
    <x v="4"/>
    <x v="2"/>
    <x v="0"/>
    <n v="56"/>
    <x v="1"/>
    <x v="0"/>
    <x v="1"/>
    <x v="0"/>
  </r>
  <r>
    <x v="24"/>
    <x v="1"/>
    <x v="1"/>
    <x v="0"/>
    <x v="4"/>
    <x v="1"/>
    <x v="1"/>
    <x v="1"/>
    <x v="1"/>
    <x v="0"/>
    <x v="0"/>
    <n v="34"/>
    <x v="0"/>
    <x v="0"/>
    <x v="0"/>
    <x v="0"/>
  </r>
  <r>
    <x v="25"/>
    <x v="1"/>
    <x v="1"/>
    <x v="1"/>
    <x v="0"/>
    <x v="0"/>
    <x v="1"/>
    <x v="0"/>
    <x v="0"/>
    <x v="0"/>
    <x v="0"/>
    <n v="63"/>
    <x v="1"/>
    <x v="0"/>
    <x v="0"/>
    <x v="0"/>
  </r>
  <r>
    <x v="26"/>
    <x v="1"/>
    <x v="1"/>
    <x v="1"/>
    <x v="3"/>
    <x v="1"/>
    <x v="1"/>
    <x v="1"/>
    <x v="1"/>
    <x v="0"/>
    <x v="0"/>
    <n v="29"/>
    <x v="2"/>
    <x v="1"/>
    <x v="0"/>
    <x v="1"/>
  </r>
  <r>
    <x v="27"/>
    <x v="1"/>
    <x v="0"/>
    <x v="11"/>
    <x v="3"/>
    <x v="0"/>
    <x v="2"/>
    <x v="1"/>
    <x v="1"/>
    <x v="2"/>
    <x v="1"/>
    <n v="40"/>
    <x v="0"/>
    <x v="0"/>
    <x v="1"/>
    <x v="0"/>
  </r>
  <r>
    <x v="28"/>
    <x v="0"/>
    <x v="1"/>
    <x v="3"/>
    <x v="2"/>
    <x v="1"/>
    <x v="0"/>
    <x v="0"/>
    <x v="2"/>
    <x v="2"/>
    <x v="1"/>
    <n v="44"/>
    <x v="0"/>
    <x v="0"/>
    <x v="0"/>
    <x v="0"/>
  </r>
  <r>
    <x v="29"/>
    <x v="1"/>
    <x v="0"/>
    <x v="6"/>
    <x v="3"/>
    <x v="3"/>
    <x v="3"/>
    <x v="1"/>
    <x v="2"/>
    <x v="0"/>
    <x v="0"/>
    <n v="32"/>
    <x v="0"/>
    <x v="1"/>
    <x v="0"/>
    <x v="1"/>
  </r>
  <r>
    <x v="30"/>
    <x v="0"/>
    <x v="0"/>
    <x v="6"/>
    <x v="4"/>
    <x v="1"/>
    <x v="3"/>
    <x v="0"/>
    <x v="0"/>
    <x v="0"/>
    <x v="0"/>
    <n v="63"/>
    <x v="1"/>
    <x v="0"/>
    <x v="0"/>
    <x v="0"/>
  </r>
  <r>
    <x v="31"/>
    <x v="0"/>
    <x v="1"/>
    <x v="4"/>
    <x v="3"/>
    <x v="1"/>
    <x v="3"/>
    <x v="1"/>
    <x v="1"/>
    <x v="0"/>
    <x v="1"/>
    <n v="26"/>
    <x v="2"/>
    <x v="1"/>
    <x v="0"/>
    <x v="1"/>
  </r>
  <r>
    <x v="32"/>
    <x v="1"/>
    <x v="0"/>
    <x v="6"/>
    <x v="3"/>
    <x v="2"/>
    <x v="3"/>
    <x v="1"/>
    <x v="1"/>
    <x v="2"/>
    <x v="0"/>
    <n v="31"/>
    <x v="0"/>
    <x v="0"/>
    <x v="0"/>
    <x v="0"/>
  </r>
  <r>
    <x v="33"/>
    <x v="1"/>
    <x v="1"/>
    <x v="2"/>
    <x v="4"/>
    <x v="2"/>
    <x v="0"/>
    <x v="1"/>
    <x v="2"/>
    <x v="3"/>
    <x v="1"/>
    <n v="50"/>
    <x v="0"/>
    <x v="1"/>
    <x v="1"/>
    <x v="1"/>
  </r>
  <r>
    <x v="34"/>
    <x v="1"/>
    <x v="1"/>
    <x v="8"/>
    <x v="2"/>
    <x v="1"/>
    <x v="2"/>
    <x v="1"/>
    <x v="2"/>
    <x v="1"/>
    <x v="0"/>
    <n v="62"/>
    <x v="1"/>
    <x v="1"/>
    <x v="1"/>
    <x v="1"/>
  </r>
  <r>
    <x v="35"/>
    <x v="1"/>
    <x v="0"/>
    <x v="4"/>
    <x v="2"/>
    <x v="3"/>
    <x v="3"/>
    <x v="1"/>
    <x v="2"/>
    <x v="0"/>
    <x v="0"/>
    <n v="41"/>
    <x v="0"/>
    <x v="0"/>
    <x v="0"/>
    <x v="0"/>
  </r>
  <r>
    <x v="36"/>
    <x v="0"/>
    <x v="0"/>
    <x v="4"/>
    <x v="4"/>
    <x v="1"/>
    <x v="3"/>
    <x v="0"/>
    <x v="1"/>
    <x v="0"/>
    <x v="0"/>
    <n v="50"/>
    <x v="0"/>
    <x v="1"/>
    <x v="0"/>
    <x v="1"/>
  </r>
  <r>
    <x v="37"/>
    <x v="1"/>
    <x v="0"/>
    <x v="1"/>
    <x v="3"/>
    <x v="1"/>
    <x v="1"/>
    <x v="1"/>
    <x v="1"/>
    <x v="1"/>
    <x v="0"/>
    <n v="30"/>
    <x v="2"/>
    <x v="0"/>
    <x v="0"/>
    <x v="0"/>
  </r>
  <r>
    <x v="38"/>
    <x v="1"/>
    <x v="1"/>
    <x v="6"/>
    <x v="3"/>
    <x v="2"/>
    <x v="3"/>
    <x v="1"/>
    <x v="1"/>
    <x v="1"/>
    <x v="0"/>
    <n v="28"/>
    <x v="2"/>
    <x v="0"/>
    <x v="0"/>
    <x v="0"/>
  </r>
  <r>
    <x v="39"/>
    <x v="1"/>
    <x v="0"/>
    <x v="4"/>
    <x v="5"/>
    <x v="3"/>
    <x v="3"/>
    <x v="0"/>
    <x v="2"/>
    <x v="0"/>
    <x v="0"/>
    <n v="40"/>
    <x v="0"/>
    <x v="1"/>
    <x v="0"/>
    <x v="1"/>
  </r>
  <r>
    <x v="40"/>
    <x v="1"/>
    <x v="0"/>
    <x v="1"/>
    <x v="4"/>
    <x v="1"/>
    <x v="1"/>
    <x v="1"/>
    <x v="0"/>
    <x v="0"/>
    <x v="0"/>
    <n v="43"/>
    <x v="0"/>
    <x v="0"/>
    <x v="0"/>
    <x v="0"/>
  </r>
  <r>
    <x v="41"/>
    <x v="1"/>
    <x v="0"/>
    <x v="0"/>
    <x v="4"/>
    <x v="0"/>
    <x v="4"/>
    <x v="0"/>
    <x v="2"/>
    <x v="2"/>
    <x v="1"/>
    <n v="65"/>
    <x v="1"/>
    <x v="1"/>
    <x v="0"/>
    <x v="1"/>
  </r>
  <r>
    <x v="42"/>
    <x v="0"/>
    <x v="0"/>
    <x v="4"/>
    <x v="0"/>
    <x v="4"/>
    <x v="3"/>
    <x v="0"/>
    <x v="0"/>
    <x v="0"/>
    <x v="0"/>
    <n v="40"/>
    <x v="0"/>
    <x v="0"/>
    <x v="0"/>
    <x v="0"/>
  </r>
  <r>
    <x v="43"/>
    <x v="0"/>
    <x v="0"/>
    <x v="9"/>
    <x v="5"/>
    <x v="1"/>
    <x v="2"/>
    <x v="1"/>
    <x v="4"/>
    <x v="2"/>
    <x v="0"/>
    <n v="48"/>
    <x v="0"/>
    <x v="1"/>
    <x v="2"/>
    <x v="1"/>
  </r>
  <r>
    <x v="44"/>
    <x v="0"/>
    <x v="0"/>
    <x v="6"/>
    <x v="1"/>
    <x v="2"/>
    <x v="3"/>
    <x v="0"/>
    <x v="0"/>
    <x v="0"/>
    <x v="0"/>
    <n v="41"/>
    <x v="0"/>
    <x v="1"/>
    <x v="0"/>
    <x v="1"/>
  </r>
  <r>
    <x v="45"/>
    <x v="0"/>
    <x v="0"/>
    <x v="6"/>
    <x v="0"/>
    <x v="0"/>
    <x v="1"/>
    <x v="0"/>
    <x v="0"/>
    <x v="0"/>
    <x v="0"/>
    <n v="66"/>
    <x v="1"/>
    <x v="1"/>
    <x v="0"/>
    <x v="1"/>
  </r>
  <r>
    <x v="46"/>
    <x v="0"/>
    <x v="0"/>
    <x v="10"/>
    <x v="0"/>
    <x v="1"/>
    <x v="0"/>
    <x v="0"/>
    <x v="1"/>
    <x v="2"/>
    <x v="1"/>
    <n v="46"/>
    <x v="0"/>
    <x v="1"/>
    <x v="0"/>
    <x v="1"/>
  </r>
  <r>
    <x v="47"/>
    <x v="1"/>
    <x v="0"/>
    <x v="0"/>
    <x v="4"/>
    <x v="1"/>
    <x v="0"/>
    <x v="0"/>
    <x v="2"/>
    <x v="2"/>
    <x v="1"/>
    <n v="52"/>
    <x v="1"/>
    <x v="1"/>
    <x v="0"/>
    <x v="1"/>
  </r>
  <r>
    <x v="48"/>
    <x v="0"/>
    <x v="1"/>
    <x v="1"/>
    <x v="4"/>
    <x v="1"/>
    <x v="1"/>
    <x v="1"/>
    <x v="2"/>
    <x v="0"/>
    <x v="0"/>
    <n v="42"/>
    <x v="0"/>
    <x v="0"/>
    <x v="0"/>
    <x v="0"/>
  </r>
  <r>
    <x v="49"/>
    <x v="1"/>
    <x v="1"/>
    <x v="0"/>
    <x v="3"/>
    <x v="0"/>
    <x v="1"/>
    <x v="0"/>
    <x v="0"/>
    <x v="0"/>
    <x v="0"/>
    <n v="39"/>
    <x v="0"/>
    <x v="1"/>
    <x v="0"/>
    <x v="1"/>
  </r>
  <r>
    <x v="50"/>
    <x v="1"/>
    <x v="0"/>
    <x v="1"/>
    <x v="3"/>
    <x v="1"/>
    <x v="1"/>
    <x v="1"/>
    <x v="1"/>
    <x v="0"/>
    <x v="0"/>
    <n v="28"/>
    <x v="2"/>
    <x v="0"/>
    <x v="0"/>
    <x v="0"/>
  </r>
  <r>
    <x v="51"/>
    <x v="1"/>
    <x v="1"/>
    <x v="2"/>
    <x v="3"/>
    <x v="0"/>
    <x v="2"/>
    <x v="1"/>
    <x v="3"/>
    <x v="4"/>
    <x v="1"/>
    <n v="35"/>
    <x v="0"/>
    <x v="0"/>
    <x v="1"/>
    <x v="0"/>
  </r>
  <r>
    <x v="52"/>
    <x v="0"/>
    <x v="0"/>
    <x v="6"/>
    <x v="0"/>
    <x v="0"/>
    <x v="1"/>
    <x v="0"/>
    <x v="0"/>
    <x v="0"/>
    <x v="0"/>
    <n v="65"/>
    <x v="1"/>
    <x v="0"/>
    <x v="0"/>
    <x v="0"/>
  </r>
  <r>
    <x v="53"/>
    <x v="1"/>
    <x v="0"/>
    <x v="8"/>
    <x v="5"/>
    <x v="2"/>
    <x v="4"/>
    <x v="1"/>
    <x v="4"/>
    <x v="2"/>
    <x v="0"/>
    <n v="56"/>
    <x v="1"/>
    <x v="0"/>
    <x v="1"/>
    <x v="0"/>
  </r>
  <r>
    <x v="54"/>
    <x v="1"/>
    <x v="0"/>
    <x v="3"/>
    <x v="3"/>
    <x v="0"/>
    <x v="2"/>
    <x v="1"/>
    <x v="1"/>
    <x v="2"/>
    <x v="1"/>
    <n v="42"/>
    <x v="0"/>
    <x v="0"/>
    <x v="0"/>
    <x v="0"/>
  </r>
  <r>
    <x v="55"/>
    <x v="0"/>
    <x v="1"/>
    <x v="2"/>
    <x v="5"/>
    <x v="2"/>
    <x v="2"/>
    <x v="0"/>
    <x v="2"/>
    <x v="4"/>
    <x v="0"/>
    <n v="54"/>
    <x v="1"/>
    <x v="0"/>
    <x v="1"/>
    <x v="0"/>
  </r>
  <r>
    <x v="56"/>
    <x v="0"/>
    <x v="1"/>
    <x v="0"/>
    <x v="3"/>
    <x v="0"/>
    <x v="1"/>
    <x v="0"/>
    <x v="0"/>
    <x v="0"/>
    <x v="0"/>
    <n v="38"/>
    <x v="0"/>
    <x v="1"/>
    <x v="0"/>
    <x v="1"/>
  </r>
  <r>
    <x v="57"/>
    <x v="0"/>
    <x v="1"/>
    <x v="12"/>
    <x v="5"/>
    <x v="1"/>
    <x v="2"/>
    <x v="1"/>
    <x v="3"/>
    <x v="2"/>
    <x v="0"/>
    <n v="61"/>
    <x v="1"/>
    <x v="1"/>
    <x v="2"/>
    <x v="1"/>
  </r>
  <r>
    <x v="58"/>
    <x v="0"/>
    <x v="0"/>
    <x v="0"/>
    <x v="0"/>
    <x v="0"/>
    <x v="0"/>
    <x v="0"/>
    <x v="0"/>
    <x v="0"/>
    <x v="0"/>
    <n v="43"/>
    <x v="0"/>
    <x v="1"/>
    <x v="0"/>
    <x v="1"/>
  </r>
  <r>
    <x v="59"/>
    <x v="0"/>
    <x v="1"/>
    <x v="10"/>
    <x v="4"/>
    <x v="0"/>
    <x v="2"/>
    <x v="0"/>
    <x v="1"/>
    <x v="1"/>
    <x v="1"/>
    <n v="38"/>
    <x v="0"/>
    <x v="1"/>
    <x v="0"/>
    <x v="1"/>
  </r>
  <r>
    <x v="60"/>
    <x v="1"/>
    <x v="0"/>
    <x v="4"/>
    <x v="0"/>
    <x v="2"/>
    <x v="3"/>
    <x v="1"/>
    <x v="1"/>
    <x v="3"/>
    <x v="0"/>
    <n v="45"/>
    <x v="0"/>
    <x v="0"/>
    <x v="0"/>
    <x v="0"/>
  </r>
  <r>
    <x v="61"/>
    <x v="1"/>
    <x v="0"/>
    <x v="4"/>
    <x v="4"/>
    <x v="2"/>
    <x v="3"/>
    <x v="0"/>
    <x v="0"/>
    <x v="0"/>
    <x v="0"/>
    <n v="35"/>
    <x v="0"/>
    <x v="0"/>
    <x v="0"/>
    <x v="0"/>
  </r>
  <r>
    <x v="62"/>
    <x v="0"/>
    <x v="1"/>
    <x v="0"/>
    <x v="4"/>
    <x v="0"/>
    <x v="4"/>
    <x v="0"/>
    <x v="1"/>
    <x v="0"/>
    <x v="1"/>
    <n v="52"/>
    <x v="1"/>
    <x v="1"/>
    <x v="0"/>
    <x v="1"/>
  </r>
  <r>
    <x v="63"/>
    <x v="1"/>
    <x v="1"/>
    <x v="10"/>
    <x v="5"/>
    <x v="0"/>
    <x v="2"/>
    <x v="0"/>
    <x v="4"/>
    <x v="4"/>
    <x v="1"/>
    <n v="41"/>
    <x v="0"/>
    <x v="0"/>
    <x v="0"/>
    <x v="0"/>
  </r>
  <r>
    <x v="64"/>
    <x v="0"/>
    <x v="0"/>
    <x v="1"/>
    <x v="0"/>
    <x v="0"/>
    <x v="1"/>
    <x v="0"/>
    <x v="0"/>
    <x v="0"/>
    <x v="0"/>
    <n v="37"/>
    <x v="0"/>
    <x v="1"/>
    <x v="0"/>
    <x v="1"/>
  </r>
  <r>
    <x v="65"/>
    <x v="1"/>
    <x v="1"/>
    <x v="1"/>
    <x v="4"/>
    <x v="1"/>
    <x v="1"/>
    <x v="0"/>
    <x v="2"/>
    <x v="2"/>
    <x v="1"/>
    <n v="68"/>
    <x v="1"/>
    <x v="0"/>
    <x v="0"/>
    <x v="0"/>
  </r>
  <r>
    <x v="66"/>
    <x v="0"/>
    <x v="0"/>
    <x v="0"/>
    <x v="3"/>
    <x v="4"/>
    <x v="1"/>
    <x v="0"/>
    <x v="0"/>
    <x v="0"/>
    <x v="0"/>
    <n v="37"/>
    <x v="0"/>
    <x v="1"/>
    <x v="0"/>
    <x v="1"/>
  </r>
  <r>
    <x v="67"/>
    <x v="1"/>
    <x v="1"/>
    <x v="1"/>
    <x v="3"/>
    <x v="2"/>
    <x v="3"/>
    <x v="0"/>
    <x v="1"/>
    <x v="1"/>
    <x v="0"/>
    <n v="33"/>
    <x v="0"/>
    <x v="1"/>
    <x v="0"/>
    <x v="1"/>
  </r>
  <r>
    <x v="68"/>
    <x v="1"/>
    <x v="0"/>
    <x v="6"/>
    <x v="5"/>
    <x v="2"/>
    <x v="3"/>
    <x v="0"/>
    <x v="1"/>
    <x v="0"/>
    <x v="0"/>
    <n v="43"/>
    <x v="0"/>
    <x v="1"/>
    <x v="0"/>
    <x v="1"/>
  </r>
  <r>
    <x v="69"/>
    <x v="0"/>
    <x v="0"/>
    <x v="4"/>
    <x v="3"/>
    <x v="3"/>
    <x v="3"/>
    <x v="1"/>
    <x v="2"/>
    <x v="0"/>
    <x v="0"/>
    <n v="30"/>
    <x v="2"/>
    <x v="0"/>
    <x v="0"/>
    <x v="0"/>
  </r>
  <r>
    <x v="70"/>
    <x v="0"/>
    <x v="1"/>
    <x v="7"/>
    <x v="3"/>
    <x v="3"/>
    <x v="2"/>
    <x v="0"/>
    <x v="3"/>
    <x v="4"/>
    <x v="1"/>
    <n v="36"/>
    <x v="0"/>
    <x v="1"/>
    <x v="1"/>
    <x v="1"/>
  </r>
  <r>
    <x v="71"/>
    <x v="1"/>
    <x v="0"/>
    <x v="4"/>
    <x v="3"/>
    <x v="3"/>
    <x v="3"/>
    <x v="1"/>
    <x v="2"/>
    <x v="0"/>
    <x v="0"/>
    <n v="35"/>
    <x v="0"/>
    <x v="0"/>
    <x v="0"/>
    <x v="0"/>
  </r>
  <r>
    <x v="72"/>
    <x v="0"/>
    <x v="0"/>
    <x v="12"/>
    <x v="1"/>
    <x v="2"/>
    <x v="2"/>
    <x v="0"/>
    <x v="3"/>
    <x v="0"/>
    <x v="0"/>
    <n v="52"/>
    <x v="1"/>
    <x v="0"/>
    <x v="2"/>
    <x v="0"/>
  </r>
  <r>
    <x v="73"/>
    <x v="1"/>
    <x v="0"/>
    <x v="6"/>
    <x v="3"/>
    <x v="1"/>
    <x v="3"/>
    <x v="1"/>
    <x v="1"/>
    <x v="1"/>
    <x v="0"/>
    <n v="36"/>
    <x v="0"/>
    <x v="1"/>
    <x v="0"/>
    <x v="1"/>
  </r>
  <r>
    <x v="74"/>
    <x v="0"/>
    <x v="0"/>
    <x v="6"/>
    <x v="1"/>
    <x v="2"/>
    <x v="0"/>
    <x v="1"/>
    <x v="2"/>
    <x v="3"/>
    <x v="1"/>
    <n v="62"/>
    <x v="1"/>
    <x v="0"/>
    <x v="0"/>
    <x v="0"/>
  </r>
  <r>
    <x v="75"/>
    <x v="1"/>
    <x v="0"/>
    <x v="12"/>
    <x v="5"/>
    <x v="2"/>
    <x v="4"/>
    <x v="0"/>
    <x v="3"/>
    <x v="0"/>
    <x v="1"/>
    <n v="31"/>
    <x v="0"/>
    <x v="0"/>
    <x v="2"/>
    <x v="0"/>
  </r>
  <r>
    <x v="76"/>
    <x v="1"/>
    <x v="0"/>
    <x v="6"/>
    <x v="3"/>
    <x v="3"/>
    <x v="3"/>
    <x v="1"/>
    <x v="2"/>
    <x v="3"/>
    <x v="0"/>
    <n v="26"/>
    <x v="2"/>
    <x v="0"/>
    <x v="0"/>
    <x v="0"/>
  </r>
  <r>
    <x v="77"/>
    <x v="0"/>
    <x v="1"/>
    <x v="2"/>
    <x v="3"/>
    <x v="0"/>
    <x v="2"/>
    <x v="0"/>
    <x v="2"/>
    <x v="4"/>
    <x v="1"/>
    <n v="29"/>
    <x v="2"/>
    <x v="1"/>
    <x v="1"/>
    <x v="1"/>
  </r>
  <r>
    <x v="78"/>
    <x v="0"/>
    <x v="1"/>
    <x v="2"/>
    <x v="4"/>
    <x v="2"/>
    <x v="0"/>
    <x v="1"/>
    <x v="2"/>
    <x v="3"/>
    <x v="1"/>
    <n v="50"/>
    <x v="0"/>
    <x v="1"/>
    <x v="1"/>
    <x v="1"/>
  </r>
  <r>
    <x v="79"/>
    <x v="1"/>
    <x v="1"/>
    <x v="0"/>
    <x v="4"/>
    <x v="0"/>
    <x v="4"/>
    <x v="0"/>
    <x v="2"/>
    <x v="2"/>
    <x v="1"/>
    <n v="63"/>
    <x v="1"/>
    <x v="1"/>
    <x v="0"/>
    <x v="1"/>
  </r>
  <r>
    <x v="80"/>
    <x v="0"/>
    <x v="0"/>
    <x v="1"/>
    <x v="5"/>
    <x v="4"/>
    <x v="1"/>
    <x v="0"/>
    <x v="0"/>
    <x v="0"/>
    <x v="0"/>
    <n v="45"/>
    <x v="0"/>
    <x v="1"/>
    <x v="0"/>
    <x v="1"/>
  </r>
  <r>
    <x v="81"/>
    <x v="1"/>
    <x v="0"/>
    <x v="4"/>
    <x v="5"/>
    <x v="3"/>
    <x v="3"/>
    <x v="0"/>
    <x v="2"/>
    <x v="0"/>
    <x v="0"/>
    <n v="40"/>
    <x v="0"/>
    <x v="0"/>
    <x v="0"/>
    <x v="0"/>
  </r>
  <r>
    <x v="82"/>
    <x v="0"/>
    <x v="1"/>
    <x v="1"/>
    <x v="3"/>
    <x v="0"/>
    <x v="1"/>
    <x v="0"/>
    <x v="0"/>
    <x v="0"/>
    <x v="0"/>
    <n v="47"/>
    <x v="0"/>
    <x v="1"/>
    <x v="0"/>
    <x v="1"/>
  </r>
  <r>
    <x v="83"/>
    <x v="1"/>
    <x v="1"/>
    <x v="6"/>
    <x v="3"/>
    <x v="2"/>
    <x v="3"/>
    <x v="1"/>
    <x v="1"/>
    <x v="1"/>
    <x v="0"/>
    <n v="29"/>
    <x v="2"/>
    <x v="0"/>
    <x v="0"/>
    <x v="0"/>
  </r>
  <r>
    <x v="84"/>
    <x v="1"/>
    <x v="1"/>
    <x v="0"/>
    <x v="4"/>
    <x v="0"/>
    <x v="4"/>
    <x v="1"/>
    <x v="1"/>
    <x v="2"/>
    <x v="1"/>
    <n v="52"/>
    <x v="1"/>
    <x v="1"/>
    <x v="0"/>
    <x v="1"/>
  </r>
  <r>
    <x v="85"/>
    <x v="1"/>
    <x v="1"/>
    <x v="4"/>
    <x v="3"/>
    <x v="1"/>
    <x v="3"/>
    <x v="0"/>
    <x v="1"/>
    <x v="3"/>
    <x v="1"/>
    <n v="26"/>
    <x v="2"/>
    <x v="1"/>
    <x v="0"/>
    <x v="1"/>
  </r>
  <r>
    <x v="86"/>
    <x v="1"/>
    <x v="1"/>
    <x v="12"/>
    <x v="1"/>
    <x v="1"/>
    <x v="2"/>
    <x v="1"/>
    <x v="4"/>
    <x v="0"/>
    <x v="0"/>
    <n v="51"/>
    <x v="1"/>
    <x v="1"/>
    <x v="2"/>
    <x v="1"/>
  </r>
  <r>
    <x v="87"/>
    <x v="0"/>
    <x v="1"/>
    <x v="2"/>
    <x v="2"/>
    <x v="0"/>
    <x v="2"/>
    <x v="0"/>
    <x v="3"/>
    <x v="3"/>
    <x v="1"/>
    <n v="40"/>
    <x v="0"/>
    <x v="0"/>
    <x v="1"/>
    <x v="0"/>
  </r>
  <r>
    <x v="88"/>
    <x v="1"/>
    <x v="1"/>
    <x v="1"/>
    <x v="3"/>
    <x v="1"/>
    <x v="1"/>
    <x v="1"/>
    <x v="1"/>
    <x v="1"/>
    <x v="0"/>
    <n v="29"/>
    <x v="2"/>
    <x v="0"/>
    <x v="0"/>
    <x v="0"/>
  </r>
  <r>
    <x v="89"/>
    <x v="0"/>
    <x v="1"/>
    <x v="6"/>
    <x v="0"/>
    <x v="2"/>
    <x v="3"/>
    <x v="1"/>
    <x v="1"/>
    <x v="3"/>
    <x v="0"/>
    <n v="40"/>
    <x v="0"/>
    <x v="1"/>
    <x v="0"/>
    <x v="1"/>
  </r>
  <r>
    <x v="90"/>
    <x v="1"/>
    <x v="0"/>
    <x v="1"/>
    <x v="3"/>
    <x v="1"/>
    <x v="1"/>
    <x v="1"/>
    <x v="1"/>
    <x v="0"/>
    <x v="0"/>
    <n v="29"/>
    <x v="2"/>
    <x v="1"/>
    <x v="0"/>
    <x v="1"/>
  </r>
  <r>
    <x v="91"/>
    <x v="1"/>
    <x v="1"/>
    <x v="1"/>
    <x v="3"/>
    <x v="1"/>
    <x v="1"/>
    <x v="1"/>
    <x v="1"/>
    <x v="0"/>
    <x v="0"/>
    <n v="30"/>
    <x v="2"/>
    <x v="1"/>
    <x v="0"/>
    <x v="1"/>
  </r>
  <r>
    <x v="92"/>
    <x v="1"/>
    <x v="0"/>
    <x v="10"/>
    <x v="4"/>
    <x v="0"/>
    <x v="2"/>
    <x v="0"/>
    <x v="1"/>
    <x v="1"/>
    <x v="1"/>
    <n v="37"/>
    <x v="0"/>
    <x v="1"/>
    <x v="0"/>
    <x v="1"/>
  </r>
  <r>
    <x v="93"/>
    <x v="1"/>
    <x v="0"/>
    <x v="1"/>
    <x v="3"/>
    <x v="1"/>
    <x v="1"/>
    <x v="1"/>
    <x v="1"/>
    <x v="1"/>
    <x v="0"/>
    <n v="33"/>
    <x v="0"/>
    <x v="0"/>
    <x v="0"/>
    <x v="0"/>
  </r>
  <r>
    <x v="94"/>
    <x v="1"/>
    <x v="0"/>
    <x v="1"/>
    <x v="1"/>
    <x v="2"/>
    <x v="0"/>
    <x v="0"/>
    <x v="2"/>
    <x v="2"/>
    <x v="1"/>
    <n v="55"/>
    <x v="1"/>
    <x v="0"/>
    <x v="0"/>
    <x v="0"/>
  </r>
  <r>
    <x v="95"/>
    <x v="1"/>
    <x v="0"/>
    <x v="8"/>
    <x v="2"/>
    <x v="1"/>
    <x v="2"/>
    <x v="0"/>
    <x v="2"/>
    <x v="4"/>
    <x v="0"/>
    <n v="62"/>
    <x v="1"/>
    <x v="0"/>
    <x v="1"/>
    <x v="0"/>
  </r>
  <r>
    <x v="96"/>
    <x v="0"/>
    <x v="1"/>
    <x v="1"/>
    <x v="0"/>
    <x v="1"/>
    <x v="1"/>
    <x v="0"/>
    <x v="1"/>
    <x v="0"/>
    <x v="0"/>
    <n v="43"/>
    <x v="0"/>
    <x v="0"/>
    <x v="0"/>
    <x v="0"/>
  </r>
  <r>
    <x v="97"/>
    <x v="0"/>
    <x v="1"/>
    <x v="0"/>
    <x v="0"/>
    <x v="0"/>
    <x v="0"/>
    <x v="0"/>
    <x v="1"/>
    <x v="0"/>
    <x v="0"/>
    <n v="44"/>
    <x v="0"/>
    <x v="1"/>
    <x v="0"/>
    <x v="1"/>
  </r>
  <r>
    <x v="98"/>
    <x v="0"/>
    <x v="1"/>
    <x v="0"/>
    <x v="3"/>
    <x v="4"/>
    <x v="1"/>
    <x v="0"/>
    <x v="0"/>
    <x v="0"/>
    <x v="0"/>
    <n v="25"/>
    <x v="2"/>
    <x v="1"/>
    <x v="0"/>
    <x v="1"/>
  </r>
  <r>
    <x v="99"/>
    <x v="0"/>
    <x v="0"/>
    <x v="6"/>
    <x v="1"/>
    <x v="2"/>
    <x v="3"/>
    <x v="0"/>
    <x v="2"/>
    <x v="0"/>
    <x v="0"/>
    <n v="43"/>
    <x v="0"/>
    <x v="0"/>
    <x v="0"/>
    <x v="0"/>
  </r>
  <r>
    <x v="100"/>
    <x v="1"/>
    <x v="1"/>
    <x v="4"/>
    <x v="4"/>
    <x v="2"/>
    <x v="3"/>
    <x v="0"/>
    <x v="0"/>
    <x v="0"/>
    <x v="0"/>
    <n v="35"/>
    <x v="0"/>
    <x v="0"/>
    <x v="0"/>
    <x v="0"/>
  </r>
  <r>
    <x v="101"/>
    <x v="1"/>
    <x v="1"/>
    <x v="10"/>
    <x v="1"/>
    <x v="0"/>
    <x v="2"/>
    <x v="1"/>
    <x v="2"/>
    <x v="0"/>
    <x v="1"/>
    <n v="43"/>
    <x v="0"/>
    <x v="1"/>
    <x v="0"/>
    <x v="1"/>
  </r>
  <r>
    <x v="102"/>
    <x v="0"/>
    <x v="1"/>
    <x v="4"/>
    <x v="4"/>
    <x v="1"/>
    <x v="3"/>
    <x v="0"/>
    <x v="0"/>
    <x v="3"/>
    <x v="0"/>
    <n v="49"/>
    <x v="0"/>
    <x v="0"/>
    <x v="0"/>
    <x v="0"/>
  </r>
  <r>
    <x v="103"/>
    <x v="1"/>
    <x v="1"/>
    <x v="10"/>
    <x v="0"/>
    <x v="1"/>
    <x v="0"/>
    <x v="0"/>
    <x v="1"/>
    <x v="2"/>
    <x v="1"/>
    <n v="45"/>
    <x v="0"/>
    <x v="0"/>
    <x v="0"/>
    <x v="0"/>
  </r>
  <r>
    <x v="104"/>
    <x v="1"/>
    <x v="0"/>
    <x v="3"/>
    <x v="4"/>
    <x v="2"/>
    <x v="2"/>
    <x v="0"/>
    <x v="2"/>
    <x v="2"/>
    <x v="1"/>
    <n v="49"/>
    <x v="0"/>
    <x v="1"/>
    <x v="0"/>
    <x v="1"/>
  </r>
  <r>
    <x v="105"/>
    <x v="1"/>
    <x v="0"/>
    <x v="1"/>
    <x v="3"/>
    <x v="1"/>
    <x v="1"/>
    <x v="1"/>
    <x v="1"/>
    <x v="1"/>
    <x v="0"/>
    <n v="30"/>
    <x v="2"/>
    <x v="0"/>
    <x v="0"/>
    <x v="0"/>
  </r>
  <r>
    <x v="106"/>
    <x v="0"/>
    <x v="1"/>
    <x v="3"/>
    <x v="4"/>
    <x v="1"/>
    <x v="0"/>
    <x v="0"/>
    <x v="2"/>
    <x v="2"/>
    <x v="1"/>
    <n v="52"/>
    <x v="1"/>
    <x v="1"/>
    <x v="0"/>
    <x v="1"/>
  </r>
  <r>
    <x v="107"/>
    <x v="1"/>
    <x v="0"/>
    <x v="0"/>
    <x v="4"/>
    <x v="1"/>
    <x v="0"/>
    <x v="1"/>
    <x v="2"/>
    <x v="3"/>
    <x v="1"/>
    <n v="53"/>
    <x v="1"/>
    <x v="1"/>
    <x v="0"/>
    <x v="1"/>
  </r>
  <r>
    <x v="108"/>
    <x v="0"/>
    <x v="0"/>
    <x v="0"/>
    <x v="3"/>
    <x v="0"/>
    <x v="1"/>
    <x v="0"/>
    <x v="0"/>
    <x v="0"/>
    <x v="0"/>
    <n v="38"/>
    <x v="0"/>
    <x v="1"/>
    <x v="0"/>
    <x v="1"/>
  </r>
  <r>
    <x v="109"/>
    <x v="1"/>
    <x v="1"/>
    <x v="0"/>
    <x v="3"/>
    <x v="0"/>
    <x v="2"/>
    <x v="1"/>
    <x v="0"/>
    <x v="0"/>
    <x v="0"/>
    <n v="39"/>
    <x v="0"/>
    <x v="1"/>
    <x v="0"/>
    <x v="1"/>
  </r>
  <r>
    <x v="110"/>
    <x v="1"/>
    <x v="0"/>
    <x v="1"/>
    <x v="0"/>
    <x v="1"/>
    <x v="3"/>
    <x v="1"/>
    <x v="0"/>
    <x v="0"/>
    <x v="0"/>
    <n v="46"/>
    <x v="0"/>
    <x v="1"/>
    <x v="0"/>
    <x v="1"/>
  </r>
  <r>
    <x v="111"/>
    <x v="1"/>
    <x v="0"/>
    <x v="3"/>
    <x v="3"/>
    <x v="0"/>
    <x v="2"/>
    <x v="1"/>
    <x v="1"/>
    <x v="2"/>
    <x v="1"/>
    <n v="38"/>
    <x v="0"/>
    <x v="0"/>
    <x v="0"/>
    <x v="0"/>
  </r>
  <r>
    <x v="112"/>
    <x v="1"/>
    <x v="0"/>
    <x v="0"/>
    <x v="4"/>
    <x v="1"/>
    <x v="1"/>
    <x v="0"/>
    <x v="2"/>
    <x v="3"/>
    <x v="0"/>
    <n v="35"/>
    <x v="0"/>
    <x v="0"/>
    <x v="0"/>
    <x v="0"/>
  </r>
  <r>
    <x v="113"/>
    <x v="1"/>
    <x v="0"/>
    <x v="12"/>
    <x v="0"/>
    <x v="4"/>
    <x v="4"/>
    <x v="1"/>
    <x v="1"/>
    <x v="0"/>
    <x v="1"/>
    <n v="36"/>
    <x v="0"/>
    <x v="1"/>
    <x v="2"/>
    <x v="1"/>
  </r>
  <r>
    <x v="114"/>
    <x v="0"/>
    <x v="1"/>
    <x v="6"/>
    <x v="3"/>
    <x v="0"/>
    <x v="1"/>
    <x v="0"/>
    <x v="0"/>
    <x v="0"/>
    <x v="1"/>
    <n v="26"/>
    <x v="2"/>
    <x v="1"/>
    <x v="0"/>
    <x v="1"/>
  </r>
  <r>
    <x v="115"/>
    <x v="1"/>
    <x v="1"/>
    <x v="4"/>
    <x v="3"/>
    <x v="4"/>
    <x v="3"/>
    <x v="1"/>
    <x v="0"/>
    <x v="0"/>
    <x v="0"/>
    <n v="30"/>
    <x v="2"/>
    <x v="1"/>
    <x v="0"/>
    <x v="1"/>
  </r>
  <r>
    <x v="116"/>
    <x v="0"/>
    <x v="0"/>
    <x v="1"/>
    <x v="0"/>
    <x v="0"/>
    <x v="0"/>
    <x v="0"/>
    <x v="2"/>
    <x v="0"/>
    <x v="0"/>
    <n v="42"/>
    <x v="0"/>
    <x v="0"/>
    <x v="0"/>
    <x v="0"/>
  </r>
  <r>
    <x v="117"/>
    <x v="1"/>
    <x v="0"/>
    <x v="6"/>
    <x v="3"/>
    <x v="2"/>
    <x v="3"/>
    <x v="0"/>
    <x v="0"/>
    <x v="0"/>
    <x v="0"/>
    <n v="40"/>
    <x v="0"/>
    <x v="1"/>
    <x v="0"/>
    <x v="1"/>
  </r>
  <r>
    <x v="118"/>
    <x v="0"/>
    <x v="1"/>
    <x v="2"/>
    <x v="2"/>
    <x v="0"/>
    <x v="4"/>
    <x v="0"/>
    <x v="2"/>
    <x v="1"/>
    <x v="0"/>
    <n v="62"/>
    <x v="1"/>
    <x v="0"/>
    <x v="1"/>
    <x v="0"/>
  </r>
  <r>
    <x v="119"/>
    <x v="1"/>
    <x v="0"/>
    <x v="1"/>
    <x v="3"/>
    <x v="1"/>
    <x v="1"/>
    <x v="1"/>
    <x v="1"/>
    <x v="1"/>
    <x v="0"/>
    <n v="29"/>
    <x v="2"/>
    <x v="0"/>
    <x v="0"/>
    <x v="0"/>
  </r>
  <r>
    <x v="120"/>
    <x v="0"/>
    <x v="0"/>
    <x v="0"/>
    <x v="4"/>
    <x v="0"/>
    <x v="4"/>
    <x v="0"/>
    <x v="2"/>
    <x v="2"/>
    <x v="1"/>
    <n v="66"/>
    <x v="1"/>
    <x v="1"/>
    <x v="0"/>
    <x v="1"/>
  </r>
  <r>
    <x v="121"/>
    <x v="0"/>
    <x v="1"/>
    <x v="13"/>
    <x v="4"/>
    <x v="2"/>
    <x v="2"/>
    <x v="0"/>
    <x v="3"/>
    <x v="0"/>
    <x v="0"/>
    <n v="48"/>
    <x v="0"/>
    <x v="0"/>
    <x v="2"/>
    <x v="0"/>
  </r>
  <r>
    <x v="122"/>
    <x v="1"/>
    <x v="0"/>
    <x v="2"/>
    <x v="3"/>
    <x v="0"/>
    <x v="2"/>
    <x v="1"/>
    <x v="4"/>
    <x v="4"/>
    <x v="1"/>
    <n v="31"/>
    <x v="0"/>
    <x v="0"/>
    <x v="1"/>
    <x v="0"/>
  </r>
  <r>
    <x v="123"/>
    <x v="1"/>
    <x v="0"/>
    <x v="11"/>
    <x v="1"/>
    <x v="1"/>
    <x v="4"/>
    <x v="1"/>
    <x v="3"/>
    <x v="2"/>
    <x v="0"/>
    <n v="56"/>
    <x v="1"/>
    <x v="0"/>
    <x v="1"/>
    <x v="0"/>
  </r>
  <r>
    <x v="124"/>
    <x v="1"/>
    <x v="0"/>
    <x v="0"/>
    <x v="3"/>
    <x v="0"/>
    <x v="1"/>
    <x v="1"/>
    <x v="0"/>
    <x v="0"/>
    <x v="0"/>
    <n v="38"/>
    <x v="0"/>
    <x v="1"/>
    <x v="0"/>
    <x v="1"/>
  </r>
  <r>
    <x v="125"/>
    <x v="0"/>
    <x v="1"/>
    <x v="2"/>
    <x v="2"/>
    <x v="0"/>
    <x v="2"/>
    <x v="0"/>
    <x v="3"/>
    <x v="3"/>
    <x v="1"/>
    <n v="40"/>
    <x v="0"/>
    <x v="0"/>
    <x v="1"/>
    <x v="0"/>
  </r>
  <r>
    <x v="126"/>
    <x v="1"/>
    <x v="1"/>
    <x v="1"/>
    <x v="3"/>
    <x v="1"/>
    <x v="1"/>
    <x v="0"/>
    <x v="1"/>
    <x v="1"/>
    <x v="0"/>
    <n v="32"/>
    <x v="0"/>
    <x v="0"/>
    <x v="0"/>
    <x v="0"/>
  </r>
  <r>
    <x v="127"/>
    <x v="0"/>
    <x v="1"/>
    <x v="1"/>
    <x v="0"/>
    <x v="0"/>
    <x v="1"/>
    <x v="0"/>
    <x v="1"/>
    <x v="1"/>
    <x v="0"/>
    <n v="39"/>
    <x v="0"/>
    <x v="0"/>
    <x v="0"/>
    <x v="0"/>
  </r>
  <r>
    <x v="128"/>
    <x v="1"/>
    <x v="1"/>
    <x v="4"/>
    <x v="4"/>
    <x v="1"/>
    <x v="3"/>
    <x v="0"/>
    <x v="1"/>
    <x v="0"/>
    <x v="0"/>
    <n v="52"/>
    <x v="1"/>
    <x v="1"/>
    <x v="0"/>
    <x v="1"/>
  </r>
  <r>
    <x v="129"/>
    <x v="1"/>
    <x v="1"/>
    <x v="4"/>
    <x v="1"/>
    <x v="2"/>
    <x v="3"/>
    <x v="0"/>
    <x v="1"/>
    <x v="0"/>
    <x v="0"/>
    <n v="39"/>
    <x v="0"/>
    <x v="1"/>
    <x v="0"/>
    <x v="1"/>
  </r>
  <r>
    <x v="130"/>
    <x v="0"/>
    <x v="1"/>
    <x v="10"/>
    <x v="4"/>
    <x v="0"/>
    <x v="2"/>
    <x v="0"/>
    <x v="1"/>
    <x v="1"/>
    <x v="1"/>
    <n v="37"/>
    <x v="0"/>
    <x v="0"/>
    <x v="0"/>
    <x v="0"/>
  </r>
  <r>
    <x v="131"/>
    <x v="0"/>
    <x v="1"/>
    <x v="8"/>
    <x v="5"/>
    <x v="2"/>
    <x v="4"/>
    <x v="0"/>
    <x v="4"/>
    <x v="2"/>
    <x v="0"/>
    <n v="56"/>
    <x v="1"/>
    <x v="1"/>
    <x v="1"/>
    <x v="1"/>
  </r>
  <r>
    <x v="132"/>
    <x v="0"/>
    <x v="1"/>
    <x v="0"/>
    <x v="3"/>
    <x v="0"/>
    <x v="2"/>
    <x v="0"/>
    <x v="0"/>
    <x v="0"/>
    <x v="0"/>
    <n v="40"/>
    <x v="0"/>
    <x v="1"/>
    <x v="0"/>
    <x v="1"/>
  </r>
  <r>
    <x v="133"/>
    <x v="1"/>
    <x v="1"/>
    <x v="0"/>
    <x v="4"/>
    <x v="0"/>
    <x v="4"/>
    <x v="0"/>
    <x v="2"/>
    <x v="2"/>
    <x v="1"/>
    <n v="65"/>
    <x v="1"/>
    <x v="1"/>
    <x v="0"/>
    <x v="1"/>
  </r>
  <r>
    <x v="134"/>
    <x v="1"/>
    <x v="0"/>
    <x v="1"/>
    <x v="4"/>
    <x v="1"/>
    <x v="1"/>
    <x v="0"/>
    <x v="2"/>
    <x v="0"/>
    <x v="0"/>
    <n v="42"/>
    <x v="0"/>
    <x v="0"/>
    <x v="0"/>
    <x v="0"/>
  </r>
  <r>
    <x v="135"/>
    <x v="0"/>
    <x v="1"/>
    <x v="4"/>
    <x v="4"/>
    <x v="1"/>
    <x v="3"/>
    <x v="0"/>
    <x v="1"/>
    <x v="1"/>
    <x v="0"/>
    <n v="52"/>
    <x v="1"/>
    <x v="0"/>
    <x v="0"/>
    <x v="0"/>
  </r>
  <r>
    <x v="136"/>
    <x v="1"/>
    <x v="0"/>
    <x v="4"/>
    <x v="0"/>
    <x v="2"/>
    <x v="3"/>
    <x v="1"/>
    <x v="1"/>
    <x v="2"/>
    <x v="0"/>
    <n v="35"/>
    <x v="0"/>
    <x v="1"/>
    <x v="0"/>
    <x v="1"/>
  </r>
  <r>
    <x v="137"/>
    <x v="1"/>
    <x v="1"/>
    <x v="6"/>
    <x v="4"/>
    <x v="2"/>
    <x v="3"/>
    <x v="0"/>
    <x v="2"/>
    <x v="0"/>
    <x v="0"/>
    <n v="42"/>
    <x v="0"/>
    <x v="0"/>
    <x v="0"/>
    <x v="0"/>
  </r>
  <r>
    <x v="138"/>
    <x v="0"/>
    <x v="0"/>
    <x v="6"/>
    <x v="4"/>
    <x v="3"/>
    <x v="1"/>
    <x v="0"/>
    <x v="2"/>
    <x v="2"/>
    <x v="1"/>
    <n v="55"/>
    <x v="1"/>
    <x v="1"/>
    <x v="0"/>
    <x v="1"/>
  </r>
  <r>
    <x v="139"/>
    <x v="1"/>
    <x v="0"/>
    <x v="1"/>
    <x v="4"/>
    <x v="1"/>
    <x v="1"/>
    <x v="1"/>
    <x v="2"/>
    <x v="2"/>
    <x v="1"/>
    <n v="60"/>
    <x v="1"/>
    <x v="1"/>
    <x v="0"/>
    <x v="1"/>
  </r>
  <r>
    <x v="140"/>
    <x v="1"/>
    <x v="1"/>
    <x v="0"/>
    <x v="3"/>
    <x v="0"/>
    <x v="2"/>
    <x v="1"/>
    <x v="0"/>
    <x v="0"/>
    <x v="0"/>
    <n v="40"/>
    <x v="0"/>
    <x v="1"/>
    <x v="0"/>
    <x v="1"/>
  </r>
  <r>
    <x v="141"/>
    <x v="1"/>
    <x v="0"/>
    <x v="4"/>
    <x v="3"/>
    <x v="1"/>
    <x v="3"/>
    <x v="1"/>
    <x v="1"/>
    <x v="0"/>
    <x v="1"/>
    <n v="26"/>
    <x v="2"/>
    <x v="1"/>
    <x v="0"/>
    <x v="1"/>
  </r>
  <r>
    <x v="142"/>
    <x v="0"/>
    <x v="1"/>
    <x v="0"/>
    <x v="0"/>
    <x v="0"/>
    <x v="0"/>
    <x v="0"/>
    <x v="0"/>
    <x v="0"/>
    <x v="0"/>
    <n v="42"/>
    <x v="0"/>
    <x v="1"/>
    <x v="0"/>
    <x v="1"/>
  </r>
  <r>
    <x v="143"/>
    <x v="0"/>
    <x v="0"/>
    <x v="2"/>
    <x v="3"/>
    <x v="0"/>
    <x v="2"/>
    <x v="0"/>
    <x v="4"/>
    <x v="4"/>
    <x v="1"/>
    <n v="32"/>
    <x v="0"/>
    <x v="0"/>
    <x v="1"/>
    <x v="0"/>
  </r>
  <r>
    <x v="144"/>
    <x v="1"/>
    <x v="1"/>
    <x v="1"/>
    <x v="0"/>
    <x v="0"/>
    <x v="1"/>
    <x v="0"/>
    <x v="0"/>
    <x v="3"/>
    <x v="0"/>
    <n v="37"/>
    <x v="0"/>
    <x v="1"/>
    <x v="0"/>
    <x v="1"/>
  </r>
  <r>
    <x v="145"/>
    <x v="0"/>
    <x v="0"/>
    <x v="0"/>
    <x v="4"/>
    <x v="1"/>
    <x v="1"/>
    <x v="1"/>
    <x v="1"/>
    <x v="0"/>
    <x v="0"/>
    <n v="34"/>
    <x v="0"/>
    <x v="0"/>
    <x v="0"/>
    <x v="0"/>
  </r>
  <r>
    <x v="146"/>
    <x v="0"/>
    <x v="1"/>
    <x v="0"/>
    <x v="3"/>
    <x v="4"/>
    <x v="1"/>
    <x v="0"/>
    <x v="0"/>
    <x v="0"/>
    <x v="0"/>
    <n v="37"/>
    <x v="0"/>
    <x v="1"/>
    <x v="0"/>
    <x v="1"/>
  </r>
  <r>
    <x v="147"/>
    <x v="0"/>
    <x v="0"/>
    <x v="0"/>
    <x v="3"/>
    <x v="0"/>
    <x v="2"/>
    <x v="1"/>
    <x v="0"/>
    <x v="0"/>
    <x v="0"/>
    <n v="40"/>
    <x v="0"/>
    <x v="1"/>
    <x v="0"/>
    <x v="1"/>
  </r>
  <r>
    <x v="148"/>
    <x v="0"/>
    <x v="1"/>
    <x v="6"/>
    <x v="5"/>
    <x v="2"/>
    <x v="0"/>
    <x v="0"/>
    <x v="2"/>
    <x v="2"/>
    <x v="1"/>
    <n v="60"/>
    <x v="1"/>
    <x v="0"/>
    <x v="0"/>
    <x v="0"/>
  </r>
  <r>
    <x v="149"/>
    <x v="1"/>
    <x v="1"/>
    <x v="1"/>
    <x v="3"/>
    <x v="1"/>
    <x v="1"/>
    <x v="1"/>
    <x v="1"/>
    <x v="3"/>
    <x v="0"/>
    <n v="27"/>
    <x v="2"/>
    <x v="0"/>
    <x v="0"/>
    <x v="0"/>
  </r>
  <r>
    <x v="150"/>
    <x v="0"/>
    <x v="1"/>
    <x v="10"/>
    <x v="0"/>
    <x v="1"/>
    <x v="0"/>
    <x v="0"/>
    <x v="1"/>
    <x v="2"/>
    <x v="1"/>
    <n v="43"/>
    <x v="0"/>
    <x v="1"/>
    <x v="0"/>
    <x v="1"/>
  </r>
  <r>
    <x v="151"/>
    <x v="1"/>
    <x v="1"/>
    <x v="11"/>
    <x v="0"/>
    <x v="0"/>
    <x v="4"/>
    <x v="1"/>
    <x v="4"/>
    <x v="0"/>
    <x v="1"/>
    <n v="48"/>
    <x v="0"/>
    <x v="0"/>
    <x v="1"/>
    <x v="0"/>
  </r>
  <r>
    <x v="152"/>
    <x v="1"/>
    <x v="0"/>
    <x v="6"/>
    <x v="3"/>
    <x v="3"/>
    <x v="3"/>
    <x v="1"/>
    <x v="2"/>
    <x v="3"/>
    <x v="0"/>
    <n v="32"/>
    <x v="0"/>
    <x v="0"/>
    <x v="0"/>
    <x v="0"/>
  </r>
  <r>
    <x v="153"/>
    <x v="0"/>
    <x v="1"/>
    <x v="11"/>
    <x v="0"/>
    <x v="0"/>
    <x v="4"/>
    <x v="0"/>
    <x v="4"/>
    <x v="1"/>
    <x v="1"/>
    <n v="47"/>
    <x v="0"/>
    <x v="0"/>
    <x v="1"/>
    <x v="0"/>
  </r>
  <r>
    <x v="154"/>
    <x v="1"/>
    <x v="1"/>
    <x v="2"/>
    <x v="2"/>
    <x v="4"/>
    <x v="4"/>
    <x v="0"/>
    <x v="4"/>
    <x v="0"/>
    <x v="1"/>
    <n v="40"/>
    <x v="0"/>
    <x v="0"/>
    <x v="1"/>
    <x v="0"/>
  </r>
  <r>
    <x v="155"/>
    <x v="1"/>
    <x v="0"/>
    <x v="4"/>
    <x v="5"/>
    <x v="3"/>
    <x v="3"/>
    <x v="0"/>
    <x v="2"/>
    <x v="0"/>
    <x v="0"/>
    <n v="41"/>
    <x v="0"/>
    <x v="1"/>
    <x v="0"/>
    <x v="1"/>
  </r>
  <r>
    <x v="156"/>
    <x v="0"/>
    <x v="0"/>
    <x v="12"/>
    <x v="2"/>
    <x v="1"/>
    <x v="2"/>
    <x v="0"/>
    <x v="3"/>
    <x v="0"/>
    <x v="0"/>
    <n v="59"/>
    <x v="1"/>
    <x v="0"/>
    <x v="2"/>
    <x v="0"/>
  </r>
  <r>
    <x v="157"/>
    <x v="1"/>
    <x v="1"/>
    <x v="4"/>
    <x v="4"/>
    <x v="1"/>
    <x v="3"/>
    <x v="1"/>
    <x v="0"/>
    <x v="0"/>
    <x v="0"/>
    <n v="50"/>
    <x v="0"/>
    <x v="0"/>
    <x v="0"/>
    <x v="0"/>
  </r>
  <r>
    <x v="158"/>
    <x v="1"/>
    <x v="0"/>
    <x v="6"/>
    <x v="4"/>
    <x v="1"/>
    <x v="3"/>
    <x v="1"/>
    <x v="1"/>
    <x v="0"/>
    <x v="0"/>
    <n v="54"/>
    <x v="1"/>
    <x v="1"/>
    <x v="0"/>
    <x v="1"/>
  </r>
  <r>
    <x v="159"/>
    <x v="0"/>
    <x v="0"/>
    <x v="4"/>
    <x v="0"/>
    <x v="0"/>
    <x v="3"/>
    <x v="0"/>
    <x v="0"/>
    <x v="0"/>
    <x v="0"/>
    <n v="48"/>
    <x v="0"/>
    <x v="0"/>
    <x v="0"/>
    <x v="0"/>
  </r>
  <r>
    <x v="160"/>
    <x v="1"/>
    <x v="0"/>
    <x v="10"/>
    <x v="0"/>
    <x v="0"/>
    <x v="2"/>
    <x v="0"/>
    <x v="1"/>
    <x v="2"/>
    <x v="1"/>
    <n v="44"/>
    <x v="0"/>
    <x v="1"/>
    <x v="0"/>
    <x v="1"/>
  </r>
  <r>
    <x v="161"/>
    <x v="0"/>
    <x v="0"/>
    <x v="6"/>
    <x v="4"/>
    <x v="2"/>
    <x v="3"/>
    <x v="0"/>
    <x v="0"/>
    <x v="0"/>
    <x v="0"/>
    <n v="40"/>
    <x v="0"/>
    <x v="1"/>
    <x v="0"/>
    <x v="1"/>
  </r>
  <r>
    <x v="162"/>
    <x v="1"/>
    <x v="0"/>
    <x v="10"/>
    <x v="4"/>
    <x v="0"/>
    <x v="2"/>
    <x v="1"/>
    <x v="1"/>
    <x v="0"/>
    <x v="1"/>
    <n v="38"/>
    <x v="0"/>
    <x v="1"/>
    <x v="0"/>
    <x v="1"/>
  </r>
  <r>
    <x v="163"/>
    <x v="1"/>
    <x v="1"/>
    <x v="0"/>
    <x v="4"/>
    <x v="1"/>
    <x v="0"/>
    <x v="1"/>
    <x v="2"/>
    <x v="3"/>
    <x v="1"/>
    <n v="52"/>
    <x v="1"/>
    <x v="0"/>
    <x v="0"/>
    <x v="0"/>
  </r>
  <r>
    <x v="164"/>
    <x v="0"/>
    <x v="1"/>
    <x v="4"/>
    <x v="3"/>
    <x v="1"/>
    <x v="3"/>
    <x v="0"/>
    <x v="1"/>
    <x v="1"/>
    <x v="1"/>
    <n v="25"/>
    <x v="2"/>
    <x v="1"/>
    <x v="0"/>
    <x v="1"/>
  </r>
  <r>
    <x v="165"/>
    <x v="0"/>
    <x v="0"/>
    <x v="4"/>
    <x v="3"/>
    <x v="1"/>
    <x v="3"/>
    <x v="1"/>
    <x v="1"/>
    <x v="0"/>
    <x v="1"/>
    <n v="25"/>
    <x v="2"/>
    <x v="0"/>
    <x v="0"/>
    <x v="0"/>
  </r>
  <r>
    <x v="166"/>
    <x v="1"/>
    <x v="1"/>
    <x v="8"/>
    <x v="0"/>
    <x v="0"/>
    <x v="2"/>
    <x v="0"/>
    <x v="1"/>
    <x v="1"/>
    <x v="1"/>
    <n v="47"/>
    <x v="0"/>
    <x v="1"/>
    <x v="1"/>
    <x v="1"/>
  </r>
  <r>
    <x v="167"/>
    <x v="1"/>
    <x v="1"/>
    <x v="11"/>
    <x v="3"/>
    <x v="2"/>
    <x v="4"/>
    <x v="0"/>
    <x v="4"/>
    <x v="4"/>
    <x v="1"/>
    <n v="35"/>
    <x v="0"/>
    <x v="0"/>
    <x v="1"/>
    <x v="0"/>
  </r>
  <r>
    <x v="168"/>
    <x v="1"/>
    <x v="1"/>
    <x v="3"/>
    <x v="3"/>
    <x v="0"/>
    <x v="2"/>
    <x v="1"/>
    <x v="1"/>
    <x v="2"/>
    <x v="1"/>
    <n v="41"/>
    <x v="0"/>
    <x v="1"/>
    <x v="0"/>
    <x v="1"/>
  </r>
  <r>
    <x v="169"/>
    <x v="0"/>
    <x v="1"/>
    <x v="1"/>
    <x v="0"/>
    <x v="0"/>
    <x v="1"/>
    <x v="0"/>
    <x v="0"/>
    <x v="0"/>
    <x v="0"/>
    <n v="47"/>
    <x v="0"/>
    <x v="0"/>
    <x v="0"/>
    <x v="0"/>
  </r>
  <r>
    <x v="170"/>
    <x v="0"/>
    <x v="0"/>
    <x v="12"/>
    <x v="5"/>
    <x v="1"/>
    <x v="2"/>
    <x v="0"/>
    <x v="3"/>
    <x v="2"/>
    <x v="0"/>
    <n v="61"/>
    <x v="1"/>
    <x v="1"/>
    <x v="2"/>
    <x v="1"/>
  </r>
  <r>
    <x v="171"/>
    <x v="0"/>
    <x v="0"/>
    <x v="2"/>
    <x v="2"/>
    <x v="0"/>
    <x v="4"/>
    <x v="0"/>
    <x v="2"/>
    <x v="1"/>
    <x v="0"/>
    <n v="61"/>
    <x v="1"/>
    <x v="0"/>
    <x v="1"/>
    <x v="0"/>
  </r>
  <r>
    <x v="172"/>
    <x v="0"/>
    <x v="1"/>
    <x v="4"/>
    <x v="3"/>
    <x v="3"/>
    <x v="3"/>
    <x v="1"/>
    <x v="2"/>
    <x v="0"/>
    <x v="0"/>
    <n v="33"/>
    <x v="0"/>
    <x v="0"/>
    <x v="0"/>
    <x v="0"/>
  </r>
  <r>
    <x v="173"/>
    <x v="0"/>
    <x v="0"/>
    <x v="4"/>
    <x v="3"/>
    <x v="1"/>
    <x v="3"/>
    <x v="0"/>
    <x v="1"/>
    <x v="1"/>
    <x v="1"/>
    <n v="27"/>
    <x v="2"/>
    <x v="0"/>
    <x v="0"/>
    <x v="0"/>
  </r>
  <r>
    <x v="174"/>
    <x v="1"/>
    <x v="1"/>
    <x v="14"/>
    <x v="3"/>
    <x v="4"/>
    <x v="0"/>
    <x v="0"/>
    <x v="0"/>
    <x v="0"/>
    <x v="0"/>
    <n v="37"/>
    <x v="0"/>
    <x v="1"/>
    <x v="0"/>
    <x v="1"/>
  </r>
  <r>
    <x v="175"/>
    <x v="1"/>
    <x v="0"/>
    <x v="2"/>
    <x v="4"/>
    <x v="1"/>
    <x v="0"/>
    <x v="0"/>
    <x v="2"/>
    <x v="2"/>
    <x v="1"/>
    <n v="52"/>
    <x v="1"/>
    <x v="1"/>
    <x v="1"/>
    <x v="1"/>
  </r>
  <r>
    <x v="176"/>
    <x v="1"/>
    <x v="0"/>
    <x v="6"/>
    <x v="3"/>
    <x v="1"/>
    <x v="3"/>
    <x v="0"/>
    <x v="0"/>
    <x v="0"/>
    <x v="1"/>
    <n v="29"/>
    <x v="2"/>
    <x v="1"/>
    <x v="0"/>
    <x v="1"/>
  </r>
  <r>
    <x v="177"/>
    <x v="1"/>
    <x v="0"/>
    <x v="15"/>
    <x v="4"/>
    <x v="1"/>
    <x v="2"/>
    <x v="1"/>
    <x v="4"/>
    <x v="2"/>
    <x v="0"/>
    <n v="48"/>
    <x v="0"/>
    <x v="0"/>
    <x v="1"/>
    <x v="0"/>
  </r>
  <r>
    <x v="178"/>
    <x v="0"/>
    <x v="1"/>
    <x v="5"/>
    <x v="5"/>
    <x v="1"/>
    <x v="2"/>
    <x v="1"/>
    <x v="2"/>
    <x v="4"/>
    <x v="0"/>
    <n v="55"/>
    <x v="1"/>
    <x v="1"/>
    <x v="2"/>
    <x v="1"/>
  </r>
  <r>
    <x v="179"/>
    <x v="0"/>
    <x v="0"/>
    <x v="4"/>
    <x v="3"/>
    <x v="4"/>
    <x v="3"/>
    <x v="0"/>
    <x v="0"/>
    <x v="0"/>
    <x v="0"/>
    <n v="37"/>
    <x v="0"/>
    <x v="1"/>
    <x v="0"/>
    <x v="1"/>
  </r>
  <r>
    <x v="180"/>
    <x v="1"/>
    <x v="1"/>
    <x v="4"/>
    <x v="0"/>
    <x v="4"/>
    <x v="3"/>
    <x v="0"/>
    <x v="0"/>
    <x v="0"/>
    <x v="0"/>
    <n v="44"/>
    <x v="0"/>
    <x v="0"/>
    <x v="0"/>
    <x v="0"/>
  </r>
  <r>
    <x v="181"/>
    <x v="0"/>
    <x v="0"/>
    <x v="1"/>
    <x v="1"/>
    <x v="1"/>
    <x v="1"/>
    <x v="1"/>
    <x v="2"/>
    <x v="3"/>
    <x v="1"/>
    <n v="55"/>
    <x v="1"/>
    <x v="1"/>
    <x v="0"/>
    <x v="1"/>
  </r>
  <r>
    <x v="182"/>
    <x v="0"/>
    <x v="0"/>
    <x v="4"/>
    <x v="4"/>
    <x v="2"/>
    <x v="3"/>
    <x v="1"/>
    <x v="1"/>
    <x v="0"/>
    <x v="0"/>
    <n v="38"/>
    <x v="0"/>
    <x v="0"/>
    <x v="0"/>
    <x v="0"/>
  </r>
  <r>
    <x v="183"/>
    <x v="1"/>
    <x v="1"/>
    <x v="0"/>
    <x v="4"/>
    <x v="0"/>
    <x v="4"/>
    <x v="0"/>
    <x v="2"/>
    <x v="2"/>
    <x v="1"/>
    <n v="66"/>
    <x v="1"/>
    <x v="1"/>
    <x v="0"/>
    <x v="1"/>
  </r>
  <r>
    <x v="184"/>
    <x v="0"/>
    <x v="0"/>
    <x v="12"/>
    <x v="5"/>
    <x v="2"/>
    <x v="4"/>
    <x v="1"/>
    <x v="3"/>
    <x v="4"/>
    <x v="0"/>
    <n v="58"/>
    <x v="1"/>
    <x v="0"/>
    <x v="2"/>
    <x v="0"/>
  </r>
  <r>
    <x v="185"/>
    <x v="0"/>
    <x v="0"/>
    <x v="8"/>
    <x v="0"/>
    <x v="0"/>
    <x v="2"/>
    <x v="0"/>
    <x v="1"/>
    <x v="1"/>
    <x v="1"/>
    <n v="47"/>
    <x v="0"/>
    <x v="1"/>
    <x v="1"/>
    <x v="1"/>
  </r>
  <r>
    <x v="186"/>
    <x v="0"/>
    <x v="0"/>
    <x v="1"/>
    <x v="1"/>
    <x v="2"/>
    <x v="0"/>
    <x v="1"/>
    <x v="2"/>
    <x v="3"/>
    <x v="1"/>
    <n v="56"/>
    <x v="1"/>
    <x v="1"/>
    <x v="0"/>
    <x v="1"/>
  </r>
  <r>
    <x v="187"/>
    <x v="1"/>
    <x v="1"/>
    <x v="2"/>
    <x v="2"/>
    <x v="1"/>
    <x v="2"/>
    <x v="1"/>
    <x v="2"/>
    <x v="4"/>
    <x v="0"/>
    <n v="59"/>
    <x v="1"/>
    <x v="0"/>
    <x v="1"/>
    <x v="0"/>
  </r>
  <r>
    <x v="188"/>
    <x v="0"/>
    <x v="0"/>
    <x v="3"/>
    <x v="3"/>
    <x v="0"/>
    <x v="2"/>
    <x v="0"/>
    <x v="3"/>
    <x v="4"/>
    <x v="1"/>
    <n v="32"/>
    <x v="0"/>
    <x v="1"/>
    <x v="0"/>
    <x v="1"/>
  </r>
  <r>
    <x v="189"/>
    <x v="0"/>
    <x v="1"/>
    <x v="1"/>
    <x v="0"/>
    <x v="1"/>
    <x v="1"/>
    <x v="0"/>
    <x v="1"/>
    <x v="0"/>
    <x v="0"/>
    <n v="44"/>
    <x v="0"/>
    <x v="1"/>
    <x v="0"/>
    <x v="1"/>
  </r>
  <r>
    <x v="190"/>
    <x v="0"/>
    <x v="1"/>
    <x v="1"/>
    <x v="1"/>
    <x v="2"/>
    <x v="0"/>
    <x v="0"/>
    <x v="2"/>
    <x v="2"/>
    <x v="1"/>
    <n v="55"/>
    <x v="1"/>
    <x v="0"/>
    <x v="0"/>
    <x v="0"/>
  </r>
  <r>
    <x v="191"/>
    <x v="1"/>
    <x v="1"/>
    <x v="8"/>
    <x v="4"/>
    <x v="2"/>
    <x v="3"/>
    <x v="0"/>
    <x v="0"/>
    <x v="0"/>
    <x v="0"/>
    <n v="36"/>
    <x v="0"/>
    <x v="1"/>
    <x v="1"/>
    <x v="1"/>
  </r>
  <r>
    <x v="192"/>
    <x v="1"/>
    <x v="0"/>
    <x v="2"/>
    <x v="2"/>
    <x v="0"/>
    <x v="4"/>
    <x v="0"/>
    <x v="2"/>
    <x v="4"/>
    <x v="0"/>
    <n v="62"/>
    <x v="1"/>
    <x v="0"/>
    <x v="1"/>
    <x v="0"/>
  </r>
  <r>
    <x v="193"/>
    <x v="0"/>
    <x v="0"/>
    <x v="3"/>
    <x v="2"/>
    <x v="0"/>
    <x v="2"/>
    <x v="0"/>
    <x v="3"/>
    <x v="4"/>
    <x v="1"/>
    <n v="41"/>
    <x v="0"/>
    <x v="0"/>
    <x v="0"/>
    <x v="0"/>
  </r>
  <r>
    <x v="194"/>
    <x v="1"/>
    <x v="0"/>
    <x v="4"/>
    <x v="3"/>
    <x v="3"/>
    <x v="3"/>
    <x v="1"/>
    <x v="2"/>
    <x v="0"/>
    <x v="0"/>
    <n v="32"/>
    <x v="0"/>
    <x v="0"/>
    <x v="0"/>
    <x v="0"/>
  </r>
  <r>
    <x v="195"/>
    <x v="1"/>
    <x v="1"/>
    <x v="6"/>
    <x v="3"/>
    <x v="0"/>
    <x v="1"/>
    <x v="0"/>
    <x v="0"/>
    <x v="0"/>
    <x v="1"/>
    <n v="25"/>
    <x v="2"/>
    <x v="1"/>
    <x v="0"/>
    <x v="1"/>
  </r>
  <r>
    <x v="196"/>
    <x v="1"/>
    <x v="0"/>
    <x v="14"/>
    <x v="3"/>
    <x v="4"/>
    <x v="0"/>
    <x v="0"/>
    <x v="0"/>
    <x v="3"/>
    <x v="0"/>
    <n v="36"/>
    <x v="0"/>
    <x v="0"/>
    <x v="0"/>
    <x v="0"/>
  </r>
  <r>
    <x v="197"/>
    <x v="0"/>
    <x v="1"/>
    <x v="10"/>
    <x v="4"/>
    <x v="4"/>
    <x v="4"/>
    <x v="0"/>
    <x v="1"/>
    <x v="0"/>
    <x v="1"/>
    <n v="67"/>
    <x v="1"/>
    <x v="1"/>
    <x v="0"/>
    <x v="1"/>
  </r>
  <r>
    <x v="198"/>
    <x v="1"/>
    <x v="0"/>
    <x v="11"/>
    <x v="3"/>
    <x v="4"/>
    <x v="4"/>
    <x v="1"/>
    <x v="1"/>
    <x v="3"/>
    <x v="1"/>
    <n v="39"/>
    <x v="0"/>
    <x v="1"/>
    <x v="1"/>
    <x v="1"/>
  </r>
  <r>
    <x v="199"/>
    <x v="1"/>
    <x v="1"/>
    <x v="2"/>
    <x v="3"/>
    <x v="0"/>
    <x v="2"/>
    <x v="1"/>
    <x v="4"/>
    <x v="4"/>
    <x v="1"/>
    <n v="33"/>
    <x v="0"/>
    <x v="1"/>
    <x v="1"/>
    <x v="1"/>
  </r>
  <r>
    <x v="200"/>
    <x v="1"/>
    <x v="1"/>
    <x v="10"/>
    <x v="3"/>
    <x v="0"/>
    <x v="2"/>
    <x v="1"/>
    <x v="4"/>
    <x v="1"/>
    <x v="1"/>
    <n v="31"/>
    <x v="0"/>
    <x v="0"/>
    <x v="0"/>
    <x v="0"/>
  </r>
  <r>
    <x v="201"/>
    <x v="0"/>
    <x v="1"/>
    <x v="4"/>
    <x v="0"/>
    <x v="2"/>
    <x v="3"/>
    <x v="0"/>
    <x v="0"/>
    <x v="1"/>
    <x v="1"/>
    <n v="27"/>
    <x v="2"/>
    <x v="1"/>
    <x v="0"/>
    <x v="1"/>
  </r>
  <r>
    <x v="202"/>
    <x v="1"/>
    <x v="1"/>
    <x v="0"/>
    <x v="4"/>
    <x v="1"/>
    <x v="1"/>
    <x v="0"/>
    <x v="0"/>
    <x v="3"/>
    <x v="0"/>
    <n v="33"/>
    <x v="0"/>
    <x v="1"/>
    <x v="0"/>
    <x v="1"/>
  </r>
  <r>
    <x v="203"/>
    <x v="1"/>
    <x v="0"/>
    <x v="10"/>
    <x v="0"/>
    <x v="1"/>
    <x v="0"/>
    <x v="0"/>
    <x v="1"/>
    <x v="2"/>
    <x v="1"/>
    <n v="46"/>
    <x v="0"/>
    <x v="1"/>
    <x v="0"/>
    <x v="1"/>
  </r>
  <r>
    <x v="204"/>
    <x v="1"/>
    <x v="0"/>
    <x v="8"/>
    <x v="1"/>
    <x v="2"/>
    <x v="2"/>
    <x v="1"/>
    <x v="1"/>
    <x v="1"/>
    <x v="0"/>
    <n v="51"/>
    <x v="1"/>
    <x v="0"/>
    <x v="1"/>
    <x v="0"/>
  </r>
  <r>
    <x v="205"/>
    <x v="0"/>
    <x v="1"/>
    <x v="1"/>
    <x v="1"/>
    <x v="4"/>
    <x v="1"/>
    <x v="0"/>
    <x v="0"/>
    <x v="0"/>
    <x v="0"/>
    <n v="46"/>
    <x v="0"/>
    <x v="1"/>
    <x v="0"/>
    <x v="1"/>
  </r>
  <r>
    <x v="206"/>
    <x v="1"/>
    <x v="1"/>
    <x v="8"/>
    <x v="2"/>
    <x v="1"/>
    <x v="2"/>
    <x v="1"/>
    <x v="2"/>
    <x v="4"/>
    <x v="0"/>
    <n v="62"/>
    <x v="1"/>
    <x v="0"/>
    <x v="1"/>
    <x v="0"/>
  </r>
  <r>
    <x v="207"/>
    <x v="1"/>
    <x v="0"/>
    <x v="6"/>
    <x v="3"/>
    <x v="3"/>
    <x v="3"/>
    <x v="0"/>
    <x v="2"/>
    <x v="3"/>
    <x v="0"/>
    <n v="26"/>
    <x v="2"/>
    <x v="1"/>
    <x v="0"/>
    <x v="1"/>
  </r>
  <r>
    <x v="208"/>
    <x v="1"/>
    <x v="0"/>
    <x v="0"/>
    <x v="3"/>
    <x v="4"/>
    <x v="1"/>
    <x v="0"/>
    <x v="0"/>
    <x v="0"/>
    <x v="0"/>
    <n v="37"/>
    <x v="0"/>
    <x v="1"/>
    <x v="0"/>
    <x v="1"/>
  </r>
  <r>
    <x v="209"/>
    <x v="1"/>
    <x v="0"/>
    <x v="1"/>
    <x v="1"/>
    <x v="1"/>
    <x v="1"/>
    <x v="0"/>
    <x v="0"/>
    <x v="0"/>
    <x v="0"/>
    <n v="42"/>
    <x v="0"/>
    <x v="1"/>
    <x v="0"/>
    <x v="1"/>
  </r>
  <r>
    <x v="210"/>
    <x v="0"/>
    <x v="0"/>
    <x v="2"/>
    <x v="5"/>
    <x v="4"/>
    <x v="4"/>
    <x v="0"/>
    <x v="1"/>
    <x v="0"/>
    <x v="1"/>
    <n v="36"/>
    <x v="0"/>
    <x v="0"/>
    <x v="1"/>
    <x v="0"/>
  </r>
  <r>
    <x v="211"/>
    <x v="0"/>
    <x v="0"/>
    <x v="14"/>
    <x v="3"/>
    <x v="4"/>
    <x v="0"/>
    <x v="0"/>
    <x v="0"/>
    <x v="0"/>
    <x v="0"/>
    <n v="36"/>
    <x v="0"/>
    <x v="1"/>
    <x v="0"/>
    <x v="1"/>
  </r>
  <r>
    <x v="212"/>
    <x v="1"/>
    <x v="0"/>
    <x v="1"/>
    <x v="3"/>
    <x v="1"/>
    <x v="1"/>
    <x v="1"/>
    <x v="1"/>
    <x v="1"/>
    <x v="0"/>
    <n v="30"/>
    <x v="2"/>
    <x v="0"/>
    <x v="0"/>
    <x v="0"/>
  </r>
  <r>
    <x v="213"/>
    <x v="1"/>
    <x v="1"/>
    <x v="3"/>
    <x v="3"/>
    <x v="0"/>
    <x v="2"/>
    <x v="1"/>
    <x v="3"/>
    <x v="4"/>
    <x v="1"/>
    <n v="31"/>
    <x v="0"/>
    <x v="1"/>
    <x v="0"/>
    <x v="1"/>
  </r>
  <r>
    <x v="214"/>
    <x v="0"/>
    <x v="1"/>
    <x v="1"/>
    <x v="0"/>
    <x v="0"/>
    <x v="1"/>
    <x v="0"/>
    <x v="0"/>
    <x v="0"/>
    <x v="0"/>
    <n v="65"/>
    <x v="1"/>
    <x v="1"/>
    <x v="0"/>
    <x v="1"/>
  </r>
  <r>
    <x v="215"/>
    <x v="1"/>
    <x v="1"/>
    <x v="2"/>
    <x v="5"/>
    <x v="1"/>
    <x v="2"/>
    <x v="1"/>
    <x v="2"/>
    <x v="1"/>
    <x v="0"/>
    <n v="54"/>
    <x v="1"/>
    <x v="1"/>
    <x v="1"/>
    <x v="1"/>
  </r>
  <r>
    <x v="216"/>
    <x v="0"/>
    <x v="1"/>
    <x v="6"/>
    <x v="4"/>
    <x v="3"/>
    <x v="1"/>
    <x v="0"/>
    <x v="4"/>
    <x v="2"/>
    <x v="1"/>
    <n v="54"/>
    <x v="1"/>
    <x v="0"/>
    <x v="0"/>
    <x v="0"/>
  </r>
  <r>
    <x v="217"/>
    <x v="1"/>
    <x v="0"/>
    <x v="6"/>
    <x v="3"/>
    <x v="3"/>
    <x v="3"/>
    <x v="1"/>
    <x v="2"/>
    <x v="0"/>
    <x v="0"/>
    <n v="25"/>
    <x v="2"/>
    <x v="0"/>
    <x v="0"/>
    <x v="0"/>
  </r>
  <r>
    <x v="218"/>
    <x v="1"/>
    <x v="1"/>
    <x v="4"/>
    <x v="0"/>
    <x v="0"/>
    <x v="3"/>
    <x v="0"/>
    <x v="0"/>
    <x v="0"/>
    <x v="0"/>
    <n v="48"/>
    <x v="0"/>
    <x v="0"/>
    <x v="0"/>
    <x v="0"/>
  </r>
  <r>
    <x v="219"/>
    <x v="1"/>
    <x v="1"/>
    <x v="4"/>
    <x v="3"/>
    <x v="1"/>
    <x v="3"/>
    <x v="0"/>
    <x v="1"/>
    <x v="3"/>
    <x v="1"/>
    <n v="26"/>
    <x v="2"/>
    <x v="1"/>
    <x v="0"/>
    <x v="1"/>
  </r>
  <r>
    <x v="220"/>
    <x v="0"/>
    <x v="1"/>
    <x v="10"/>
    <x v="0"/>
    <x v="0"/>
    <x v="2"/>
    <x v="0"/>
    <x v="1"/>
    <x v="2"/>
    <x v="1"/>
    <n v="43"/>
    <x v="0"/>
    <x v="1"/>
    <x v="0"/>
    <x v="1"/>
  </r>
  <r>
    <x v="221"/>
    <x v="1"/>
    <x v="1"/>
    <x v="4"/>
    <x v="3"/>
    <x v="3"/>
    <x v="3"/>
    <x v="1"/>
    <x v="2"/>
    <x v="3"/>
    <x v="0"/>
    <n v="35"/>
    <x v="0"/>
    <x v="0"/>
    <x v="0"/>
    <x v="0"/>
  </r>
  <r>
    <x v="222"/>
    <x v="0"/>
    <x v="0"/>
    <x v="1"/>
    <x v="1"/>
    <x v="1"/>
    <x v="1"/>
    <x v="1"/>
    <x v="0"/>
    <x v="0"/>
    <x v="0"/>
    <n v="42"/>
    <x v="0"/>
    <x v="0"/>
    <x v="0"/>
    <x v="0"/>
  </r>
  <r>
    <x v="223"/>
    <x v="1"/>
    <x v="0"/>
    <x v="3"/>
    <x v="2"/>
    <x v="0"/>
    <x v="2"/>
    <x v="0"/>
    <x v="3"/>
    <x v="4"/>
    <x v="1"/>
    <n v="39"/>
    <x v="0"/>
    <x v="0"/>
    <x v="0"/>
    <x v="0"/>
  </r>
  <r>
    <x v="224"/>
    <x v="0"/>
    <x v="0"/>
    <x v="1"/>
    <x v="4"/>
    <x v="1"/>
    <x v="1"/>
    <x v="1"/>
    <x v="2"/>
    <x v="0"/>
    <x v="1"/>
    <n v="67"/>
    <x v="1"/>
    <x v="0"/>
    <x v="0"/>
    <x v="0"/>
  </r>
  <r>
    <x v="225"/>
    <x v="0"/>
    <x v="1"/>
    <x v="6"/>
    <x v="0"/>
    <x v="1"/>
    <x v="3"/>
    <x v="0"/>
    <x v="0"/>
    <x v="3"/>
    <x v="0"/>
    <n v="35"/>
    <x v="0"/>
    <x v="0"/>
    <x v="0"/>
    <x v="0"/>
  </r>
  <r>
    <x v="226"/>
    <x v="1"/>
    <x v="0"/>
    <x v="6"/>
    <x v="1"/>
    <x v="2"/>
    <x v="3"/>
    <x v="0"/>
    <x v="1"/>
    <x v="0"/>
    <x v="0"/>
    <n v="42"/>
    <x v="0"/>
    <x v="1"/>
    <x v="0"/>
    <x v="1"/>
  </r>
  <r>
    <x v="227"/>
    <x v="0"/>
    <x v="1"/>
    <x v="4"/>
    <x v="1"/>
    <x v="3"/>
    <x v="3"/>
    <x v="0"/>
    <x v="2"/>
    <x v="0"/>
    <x v="0"/>
    <n v="43"/>
    <x v="0"/>
    <x v="0"/>
    <x v="0"/>
    <x v="0"/>
  </r>
  <r>
    <x v="228"/>
    <x v="0"/>
    <x v="0"/>
    <x v="6"/>
    <x v="0"/>
    <x v="4"/>
    <x v="1"/>
    <x v="0"/>
    <x v="0"/>
    <x v="0"/>
    <x v="0"/>
    <n v="45"/>
    <x v="0"/>
    <x v="0"/>
    <x v="0"/>
    <x v="0"/>
  </r>
  <r>
    <x v="229"/>
    <x v="1"/>
    <x v="1"/>
    <x v="2"/>
    <x v="2"/>
    <x v="2"/>
    <x v="4"/>
    <x v="0"/>
    <x v="4"/>
    <x v="4"/>
    <x v="0"/>
    <n v="57"/>
    <x v="1"/>
    <x v="0"/>
    <x v="1"/>
    <x v="0"/>
  </r>
  <r>
    <x v="230"/>
    <x v="0"/>
    <x v="1"/>
    <x v="7"/>
    <x v="5"/>
    <x v="1"/>
    <x v="4"/>
    <x v="0"/>
    <x v="4"/>
    <x v="4"/>
    <x v="0"/>
    <n v="56"/>
    <x v="1"/>
    <x v="0"/>
    <x v="1"/>
    <x v="0"/>
  </r>
  <r>
    <x v="231"/>
    <x v="0"/>
    <x v="0"/>
    <x v="0"/>
    <x v="3"/>
    <x v="0"/>
    <x v="1"/>
    <x v="0"/>
    <x v="0"/>
    <x v="0"/>
    <x v="0"/>
    <n v="38"/>
    <x v="0"/>
    <x v="1"/>
    <x v="0"/>
    <x v="1"/>
  </r>
  <r>
    <x v="232"/>
    <x v="0"/>
    <x v="0"/>
    <x v="1"/>
    <x v="5"/>
    <x v="4"/>
    <x v="1"/>
    <x v="0"/>
    <x v="0"/>
    <x v="0"/>
    <x v="0"/>
    <n v="45"/>
    <x v="0"/>
    <x v="0"/>
    <x v="0"/>
    <x v="0"/>
  </r>
  <r>
    <x v="233"/>
    <x v="0"/>
    <x v="1"/>
    <x v="6"/>
    <x v="3"/>
    <x v="0"/>
    <x v="1"/>
    <x v="0"/>
    <x v="0"/>
    <x v="0"/>
    <x v="1"/>
    <n v="27"/>
    <x v="2"/>
    <x v="1"/>
    <x v="0"/>
    <x v="1"/>
  </r>
  <r>
    <x v="234"/>
    <x v="1"/>
    <x v="1"/>
    <x v="8"/>
    <x v="3"/>
    <x v="0"/>
    <x v="2"/>
    <x v="1"/>
    <x v="3"/>
    <x v="4"/>
    <x v="1"/>
    <n v="35"/>
    <x v="0"/>
    <x v="1"/>
    <x v="1"/>
    <x v="1"/>
  </r>
  <r>
    <x v="235"/>
    <x v="0"/>
    <x v="0"/>
    <x v="4"/>
    <x v="0"/>
    <x v="4"/>
    <x v="1"/>
    <x v="0"/>
    <x v="0"/>
    <x v="0"/>
    <x v="0"/>
    <n v="70"/>
    <x v="1"/>
    <x v="1"/>
    <x v="0"/>
    <x v="1"/>
  </r>
  <r>
    <x v="236"/>
    <x v="1"/>
    <x v="0"/>
    <x v="1"/>
    <x v="2"/>
    <x v="4"/>
    <x v="1"/>
    <x v="0"/>
    <x v="0"/>
    <x v="0"/>
    <x v="0"/>
    <n v="44"/>
    <x v="0"/>
    <x v="1"/>
    <x v="0"/>
    <x v="1"/>
  </r>
  <r>
    <x v="237"/>
    <x v="0"/>
    <x v="0"/>
    <x v="4"/>
    <x v="3"/>
    <x v="1"/>
    <x v="3"/>
    <x v="1"/>
    <x v="1"/>
    <x v="0"/>
    <x v="1"/>
    <n v="26"/>
    <x v="2"/>
    <x v="1"/>
    <x v="0"/>
    <x v="1"/>
  </r>
  <r>
    <x v="238"/>
    <x v="0"/>
    <x v="1"/>
    <x v="3"/>
    <x v="2"/>
    <x v="1"/>
    <x v="0"/>
    <x v="0"/>
    <x v="4"/>
    <x v="2"/>
    <x v="1"/>
    <n v="46"/>
    <x v="0"/>
    <x v="0"/>
    <x v="0"/>
    <x v="0"/>
  </r>
  <r>
    <x v="239"/>
    <x v="1"/>
    <x v="0"/>
    <x v="1"/>
    <x v="3"/>
    <x v="2"/>
    <x v="3"/>
    <x v="1"/>
    <x v="1"/>
    <x v="1"/>
    <x v="0"/>
    <n v="34"/>
    <x v="0"/>
    <x v="1"/>
    <x v="0"/>
    <x v="1"/>
  </r>
  <r>
    <x v="240"/>
    <x v="0"/>
    <x v="1"/>
    <x v="4"/>
    <x v="0"/>
    <x v="4"/>
    <x v="3"/>
    <x v="0"/>
    <x v="0"/>
    <x v="0"/>
    <x v="0"/>
    <n v="37"/>
    <x v="0"/>
    <x v="0"/>
    <x v="0"/>
    <x v="0"/>
  </r>
  <r>
    <x v="241"/>
    <x v="1"/>
    <x v="0"/>
    <x v="1"/>
    <x v="1"/>
    <x v="1"/>
    <x v="1"/>
    <x v="0"/>
    <x v="2"/>
    <x v="0"/>
    <x v="0"/>
    <n v="27"/>
    <x v="2"/>
    <x v="0"/>
    <x v="0"/>
    <x v="0"/>
  </r>
  <r>
    <x v="242"/>
    <x v="1"/>
    <x v="1"/>
    <x v="1"/>
    <x v="0"/>
    <x v="0"/>
    <x v="1"/>
    <x v="1"/>
    <x v="1"/>
    <x v="0"/>
    <x v="0"/>
    <n v="39"/>
    <x v="0"/>
    <x v="1"/>
    <x v="0"/>
    <x v="1"/>
  </r>
  <r>
    <x v="243"/>
    <x v="1"/>
    <x v="0"/>
    <x v="6"/>
    <x v="3"/>
    <x v="2"/>
    <x v="3"/>
    <x v="1"/>
    <x v="1"/>
    <x v="1"/>
    <x v="0"/>
    <n v="29"/>
    <x v="2"/>
    <x v="0"/>
    <x v="0"/>
    <x v="0"/>
  </r>
  <r>
    <x v="244"/>
    <x v="0"/>
    <x v="0"/>
    <x v="7"/>
    <x v="1"/>
    <x v="0"/>
    <x v="4"/>
    <x v="1"/>
    <x v="2"/>
    <x v="4"/>
    <x v="0"/>
    <n v="52"/>
    <x v="1"/>
    <x v="1"/>
    <x v="1"/>
    <x v="1"/>
  </r>
  <r>
    <x v="245"/>
    <x v="0"/>
    <x v="1"/>
    <x v="15"/>
    <x v="2"/>
    <x v="0"/>
    <x v="4"/>
    <x v="0"/>
    <x v="3"/>
    <x v="1"/>
    <x v="1"/>
    <n v="48"/>
    <x v="0"/>
    <x v="1"/>
    <x v="1"/>
    <x v="1"/>
  </r>
  <r>
    <x v="246"/>
    <x v="0"/>
    <x v="0"/>
    <x v="12"/>
    <x v="1"/>
    <x v="1"/>
    <x v="2"/>
    <x v="0"/>
    <x v="4"/>
    <x v="0"/>
    <x v="0"/>
    <n v="51"/>
    <x v="1"/>
    <x v="1"/>
    <x v="2"/>
    <x v="1"/>
  </r>
  <r>
    <x v="247"/>
    <x v="0"/>
    <x v="0"/>
    <x v="11"/>
    <x v="3"/>
    <x v="2"/>
    <x v="4"/>
    <x v="0"/>
    <x v="3"/>
    <x v="4"/>
    <x v="1"/>
    <n v="34"/>
    <x v="0"/>
    <x v="1"/>
    <x v="1"/>
    <x v="1"/>
  </r>
  <r>
    <x v="248"/>
    <x v="0"/>
    <x v="0"/>
    <x v="4"/>
    <x v="2"/>
    <x v="2"/>
    <x v="0"/>
    <x v="1"/>
    <x v="4"/>
    <x v="3"/>
    <x v="1"/>
    <n v="62"/>
    <x v="1"/>
    <x v="0"/>
    <x v="0"/>
    <x v="0"/>
  </r>
  <r>
    <x v="249"/>
    <x v="1"/>
    <x v="1"/>
    <x v="3"/>
    <x v="3"/>
    <x v="0"/>
    <x v="2"/>
    <x v="0"/>
    <x v="1"/>
    <x v="2"/>
    <x v="1"/>
    <n v="37"/>
    <x v="0"/>
    <x v="1"/>
    <x v="0"/>
    <x v="1"/>
  </r>
  <r>
    <x v="250"/>
    <x v="0"/>
    <x v="1"/>
    <x v="11"/>
    <x v="2"/>
    <x v="4"/>
    <x v="4"/>
    <x v="1"/>
    <x v="1"/>
    <x v="3"/>
    <x v="1"/>
    <n v="78"/>
    <x v="1"/>
    <x v="1"/>
    <x v="1"/>
    <x v="1"/>
  </r>
  <r>
    <x v="251"/>
    <x v="0"/>
    <x v="1"/>
    <x v="12"/>
    <x v="5"/>
    <x v="2"/>
    <x v="2"/>
    <x v="0"/>
    <x v="4"/>
    <x v="0"/>
    <x v="0"/>
    <n v="55"/>
    <x v="1"/>
    <x v="0"/>
    <x v="2"/>
    <x v="0"/>
  </r>
  <r>
    <x v="252"/>
    <x v="1"/>
    <x v="1"/>
    <x v="10"/>
    <x v="3"/>
    <x v="0"/>
    <x v="2"/>
    <x v="1"/>
    <x v="3"/>
    <x v="1"/>
    <x v="1"/>
    <n v="31"/>
    <x v="0"/>
    <x v="0"/>
    <x v="0"/>
    <x v="0"/>
  </r>
  <r>
    <x v="253"/>
    <x v="0"/>
    <x v="1"/>
    <x v="11"/>
    <x v="1"/>
    <x v="3"/>
    <x v="2"/>
    <x v="0"/>
    <x v="0"/>
    <x v="4"/>
    <x v="0"/>
    <n v="59"/>
    <x v="1"/>
    <x v="1"/>
    <x v="1"/>
    <x v="1"/>
  </r>
  <r>
    <x v="254"/>
    <x v="1"/>
    <x v="1"/>
    <x v="6"/>
    <x v="4"/>
    <x v="3"/>
    <x v="1"/>
    <x v="0"/>
    <x v="2"/>
    <x v="2"/>
    <x v="1"/>
    <n v="57"/>
    <x v="1"/>
    <x v="0"/>
    <x v="0"/>
    <x v="0"/>
  </r>
  <r>
    <x v="255"/>
    <x v="1"/>
    <x v="0"/>
    <x v="1"/>
    <x v="1"/>
    <x v="4"/>
    <x v="1"/>
    <x v="0"/>
    <x v="0"/>
    <x v="0"/>
    <x v="0"/>
    <n v="47"/>
    <x v="0"/>
    <x v="1"/>
    <x v="0"/>
    <x v="1"/>
  </r>
  <r>
    <x v="256"/>
    <x v="0"/>
    <x v="1"/>
    <x v="6"/>
    <x v="0"/>
    <x v="4"/>
    <x v="1"/>
    <x v="0"/>
    <x v="0"/>
    <x v="0"/>
    <x v="0"/>
    <n v="43"/>
    <x v="0"/>
    <x v="0"/>
    <x v="0"/>
    <x v="0"/>
  </r>
  <r>
    <x v="257"/>
    <x v="1"/>
    <x v="0"/>
    <x v="14"/>
    <x v="3"/>
    <x v="4"/>
    <x v="0"/>
    <x v="0"/>
    <x v="0"/>
    <x v="0"/>
    <x v="0"/>
    <n v="36"/>
    <x v="0"/>
    <x v="1"/>
    <x v="0"/>
    <x v="1"/>
  </r>
  <r>
    <x v="258"/>
    <x v="1"/>
    <x v="0"/>
    <x v="11"/>
    <x v="1"/>
    <x v="1"/>
    <x v="4"/>
    <x v="0"/>
    <x v="3"/>
    <x v="4"/>
    <x v="0"/>
    <n v="56"/>
    <x v="1"/>
    <x v="0"/>
    <x v="1"/>
    <x v="0"/>
  </r>
  <r>
    <x v="259"/>
    <x v="0"/>
    <x v="1"/>
    <x v="13"/>
    <x v="3"/>
    <x v="0"/>
    <x v="4"/>
    <x v="0"/>
    <x v="3"/>
    <x v="0"/>
    <x v="1"/>
    <n v="37"/>
    <x v="0"/>
    <x v="1"/>
    <x v="2"/>
    <x v="1"/>
  </r>
  <r>
    <x v="260"/>
    <x v="1"/>
    <x v="0"/>
    <x v="1"/>
    <x v="4"/>
    <x v="1"/>
    <x v="1"/>
    <x v="0"/>
    <x v="0"/>
    <x v="0"/>
    <x v="0"/>
    <n v="43"/>
    <x v="0"/>
    <x v="0"/>
    <x v="0"/>
    <x v="0"/>
  </r>
  <r>
    <x v="261"/>
    <x v="0"/>
    <x v="0"/>
    <x v="0"/>
    <x v="0"/>
    <x v="0"/>
    <x v="0"/>
    <x v="0"/>
    <x v="1"/>
    <x v="3"/>
    <x v="0"/>
    <n v="33"/>
    <x v="0"/>
    <x v="1"/>
    <x v="0"/>
    <x v="1"/>
  </r>
  <r>
    <x v="262"/>
    <x v="0"/>
    <x v="0"/>
    <x v="4"/>
    <x v="4"/>
    <x v="1"/>
    <x v="3"/>
    <x v="0"/>
    <x v="0"/>
    <x v="3"/>
    <x v="0"/>
    <n v="51"/>
    <x v="1"/>
    <x v="0"/>
    <x v="0"/>
    <x v="0"/>
  </r>
  <r>
    <x v="263"/>
    <x v="1"/>
    <x v="0"/>
    <x v="3"/>
    <x v="2"/>
    <x v="0"/>
    <x v="2"/>
    <x v="0"/>
    <x v="4"/>
    <x v="4"/>
    <x v="1"/>
    <n v="39"/>
    <x v="0"/>
    <x v="0"/>
    <x v="0"/>
    <x v="0"/>
  </r>
  <r>
    <x v="264"/>
    <x v="0"/>
    <x v="1"/>
    <x v="0"/>
    <x v="3"/>
    <x v="4"/>
    <x v="1"/>
    <x v="0"/>
    <x v="0"/>
    <x v="0"/>
    <x v="0"/>
    <n v="37"/>
    <x v="0"/>
    <x v="1"/>
    <x v="0"/>
    <x v="1"/>
  </r>
  <r>
    <x v="265"/>
    <x v="1"/>
    <x v="0"/>
    <x v="1"/>
    <x v="4"/>
    <x v="1"/>
    <x v="1"/>
    <x v="0"/>
    <x v="2"/>
    <x v="0"/>
    <x v="0"/>
    <n v="42"/>
    <x v="0"/>
    <x v="0"/>
    <x v="0"/>
    <x v="0"/>
  </r>
  <r>
    <x v="266"/>
    <x v="1"/>
    <x v="0"/>
    <x v="6"/>
    <x v="2"/>
    <x v="2"/>
    <x v="3"/>
    <x v="0"/>
    <x v="2"/>
    <x v="0"/>
    <x v="0"/>
    <n v="27"/>
    <x v="2"/>
    <x v="0"/>
    <x v="0"/>
    <x v="0"/>
  </r>
  <r>
    <x v="267"/>
    <x v="1"/>
    <x v="1"/>
    <x v="11"/>
    <x v="2"/>
    <x v="0"/>
    <x v="2"/>
    <x v="0"/>
    <x v="1"/>
    <x v="2"/>
    <x v="1"/>
    <n v="47"/>
    <x v="0"/>
    <x v="1"/>
    <x v="1"/>
    <x v="1"/>
  </r>
  <r>
    <x v="268"/>
    <x v="0"/>
    <x v="1"/>
    <x v="3"/>
    <x v="2"/>
    <x v="1"/>
    <x v="0"/>
    <x v="0"/>
    <x v="4"/>
    <x v="2"/>
    <x v="1"/>
    <n v="45"/>
    <x v="0"/>
    <x v="0"/>
    <x v="0"/>
    <x v="0"/>
  </r>
  <r>
    <x v="269"/>
    <x v="1"/>
    <x v="0"/>
    <x v="14"/>
    <x v="3"/>
    <x v="4"/>
    <x v="0"/>
    <x v="1"/>
    <x v="0"/>
    <x v="0"/>
    <x v="0"/>
    <n v="37"/>
    <x v="0"/>
    <x v="1"/>
    <x v="0"/>
    <x v="1"/>
  </r>
  <r>
    <x v="270"/>
    <x v="1"/>
    <x v="0"/>
    <x v="4"/>
    <x v="4"/>
    <x v="1"/>
    <x v="3"/>
    <x v="0"/>
    <x v="0"/>
    <x v="0"/>
    <x v="0"/>
    <n v="51"/>
    <x v="1"/>
    <x v="1"/>
    <x v="0"/>
    <x v="1"/>
  </r>
  <r>
    <x v="271"/>
    <x v="1"/>
    <x v="0"/>
    <x v="6"/>
    <x v="3"/>
    <x v="2"/>
    <x v="3"/>
    <x v="1"/>
    <x v="1"/>
    <x v="3"/>
    <x v="0"/>
    <n v="28"/>
    <x v="2"/>
    <x v="0"/>
    <x v="0"/>
    <x v="0"/>
  </r>
  <r>
    <x v="272"/>
    <x v="0"/>
    <x v="1"/>
    <x v="4"/>
    <x v="5"/>
    <x v="3"/>
    <x v="3"/>
    <x v="0"/>
    <x v="1"/>
    <x v="0"/>
    <x v="0"/>
    <n v="40"/>
    <x v="0"/>
    <x v="1"/>
    <x v="0"/>
    <x v="1"/>
  </r>
  <r>
    <x v="273"/>
    <x v="1"/>
    <x v="0"/>
    <x v="6"/>
    <x v="3"/>
    <x v="2"/>
    <x v="3"/>
    <x v="1"/>
    <x v="1"/>
    <x v="1"/>
    <x v="0"/>
    <n v="30"/>
    <x v="2"/>
    <x v="0"/>
    <x v="0"/>
    <x v="0"/>
  </r>
  <r>
    <x v="274"/>
    <x v="0"/>
    <x v="0"/>
    <x v="1"/>
    <x v="3"/>
    <x v="0"/>
    <x v="1"/>
    <x v="1"/>
    <x v="0"/>
    <x v="0"/>
    <x v="0"/>
    <n v="36"/>
    <x v="0"/>
    <x v="1"/>
    <x v="0"/>
    <x v="1"/>
  </r>
  <r>
    <x v="275"/>
    <x v="0"/>
    <x v="0"/>
    <x v="8"/>
    <x v="0"/>
    <x v="4"/>
    <x v="4"/>
    <x v="0"/>
    <x v="0"/>
    <x v="0"/>
    <x v="1"/>
    <n v="37"/>
    <x v="0"/>
    <x v="1"/>
    <x v="1"/>
    <x v="1"/>
  </r>
  <r>
    <x v="276"/>
    <x v="0"/>
    <x v="0"/>
    <x v="4"/>
    <x v="4"/>
    <x v="1"/>
    <x v="3"/>
    <x v="0"/>
    <x v="0"/>
    <x v="3"/>
    <x v="0"/>
    <n v="49"/>
    <x v="0"/>
    <x v="0"/>
    <x v="0"/>
    <x v="0"/>
  </r>
  <r>
    <x v="277"/>
    <x v="0"/>
    <x v="0"/>
    <x v="4"/>
    <x v="4"/>
    <x v="2"/>
    <x v="3"/>
    <x v="0"/>
    <x v="0"/>
    <x v="0"/>
    <x v="0"/>
    <n v="37"/>
    <x v="0"/>
    <x v="1"/>
    <x v="0"/>
    <x v="1"/>
  </r>
  <r>
    <x v="278"/>
    <x v="0"/>
    <x v="1"/>
    <x v="11"/>
    <x v="3"/>
    <x v="2"/>
    <x v="4"/>
    <x v="0"/>
    <x v="4"/>
    <x v="4"/>
    <x v="1"/>
    <n v="35"/>
    <x v="0"/>
    <x v="1"/>
    <x v="1"/>
    <x v="1"/>
  </r>
  <r>
    <x v="279"/>
    <x v="1"/>
    <x v="1"/>
    <x v="1"/>
    <x v="0"/>
    <x v="0"/>
    <x v="1"/>
    <x v="1"/>
    <x v="0"/>
    <x v="0"/>
    <x v="0"/>
    <n v="38"/>
    <x v="0"/>
    <x v="1"/>
    <x v="0"/>
    <x v="1"/>
  </r>
  <r>
    <x v="280"/>
    <x v="1"/>
    <x v="0"/>
    <x v="4"/>
    <x v="1"/>
    <x v="3"/>
    <x v="3"/>
    <x v="0"/>
    <x v="2"/>
    <x v="0"/>
    <x v="0"/>
    <n v="43"/>
    <x v="0"/>
    <x v="0"/>
    <x v="0"/>
    <x v="0"/>
  </r>
  <r>
    <x v="281"/>
    <x v="1"/>
    <x v="1"/>
    <x v="6"/>
    <x v="0"/>
    <x v="1"/>
    <x v="3"/>
    <x v="1"/>
    <x v="0"/>
    <x v="0"/>
    <x v="0"/>
    <n v="37"/>
    <x v="0"/>
    <x v="0"/>
    <x v="0"/>
    <x v="0"/>
  </r>
  <r>
    <x v="282"/>
    <x v="1"/>
    <x v="1"/>
    <x v="4"/>
    <x v="3"/>
    <x v="3"/>
    <x v="3"/>
    <x v="1"/>
    <x v="2"/>
    <x v="0"/>
    <x v="0"/>
    <n v="34"/>
    <x v="0"/>
    <x v="0"/>
    <x v="0"/>
    <x v="0"/>
  </r>
  <r>
    <x v="283"/>
    <x v="0"/>
    <x v="0"/>
    <x v="3"/>
    <x v="2"/>
    <x v="1"/>
    <x v="0"/>
    <x v="1"/>
    <x v="4"/>
    <x v="2"/>
    <x v="1"/>
    <n v="46"/>
    <x v="0"/>
    <x v="0"/>
    <x v="0"/>
    <x v="0"/>
  </r>
  <r>
    <x v="284"/>
    <x v="1"/>
    <x v="1"/>
    <x v="4"/>
    <x v="0"/>
    <x v="1"/>
    <x v="3"/>
    <x v="0"/>
    <x v="0"/>
    <x v="0"/>
    <x v="0"/>
    <n v="49"/>
    <x v="0"/>
    <x v="0"/>
    <x v="0"/>
    <x v="0"/>
  </r>
  <r>
    <x v="285"/>
    <x v="0"/>
    <x v="0"/>
    <x v="10"/>
    <x v="0"/>
    <x v="1"/>
    <x v="0"/>
    <x v="0"/>
    <x v="1"/>
    <x v="2"/>
    <x v="1"/>
    <n v="45"/>
    <x v="0"/>
    <x v="0"/>
    <x v="0"/>
    <x v="0"/>
  </r>
  <r>
    <x v="286"/>
    <x v="1"/>
    <x v="0"/>
    <x v="11"/>
    <x v="0"/>
    <x v="0"/>
    <x v="4"/>
    <x v="0"/>
    <x v="3"/>
    <x v="1"/>
    <x v="1"/>
    <n v="48"/>
    <x v="0"/>
    <x v="0"/>
    <x v="1"/>
    <x v="0"/>
  </r>
  <r>
    <x v="287"/>
    <x v="1"/>
    <x v="0"/>
    <x v="1"/>
    <x v="1"/>
    <x v="4"/>
    <x v="1"/>
    <x v="1"/>
    <x v="0"/>
    <x v="0"/>
    <x v="0"/>
    <n v="46"/>
    <x v="0"/>
    <x v="1"/>
    <x v="0"/>
    <x v="1"/>
  </r>
  <r>
    <x v="288"/>
    <x v="0"/>
    <x v="1"/>
    <x v="12"/>
    <x v="3"/>
    <x v="4"/>
    <x v="4"/>
    <x v="0"/>
    <x v="0"/>
    <x v="2"/>
    <x v="1"/>
    <n v="48"/>
    <x v="0"/>
    <x v="0"/>
    <x v="2"/>
    <x v="0"/>
  </r>
  <r>
    <x v="289"/>
    <x v="0"/>
    <x v="1"/>
    <x v="1"/>
    <x v="1"/>
    <x v="2"/>
    <x v="0"/>
    <x v="0"/>
    <x v="2"/>
    <x v="2"/>
    <x v="1"/>
    <n v="54"/>
    <x v="1"/>
    <x v="1"/>
    <x v="0"/>
    <x v="1"/>
  </r>
  <r>
    <x v="290"/>
    <x v="1"/>
    <x v="0"/>
    <x v="10"/>
    <x v="0"/>
    <x v="1"/>
    <x v="0"/>
    <x v="1"/>
    <x v="1"/>
    <x v="0"/>
    <x v="1"/>
    <n v="46"/>
    <x v="0"/>
    <x v="1"/>
    <x v="0"/>
    <x v="1"/>
  </r>
  <r>
    <x v="291"/>
    <x v="0"/>
    <x v="1"/>
    <x v="0"/>
    <x v="3"/>
    <x v="0"/>
    <x v="1"/>
    <x v="1"/>
    <x v="0"/>
    <x v="0"/>
    <x v="0"/>
    <n v="38"/>
    <x v="0"/>
    <x v="1"/>
    <x v="0"/>
    <x v="1"/>
  </r>
  <r>
    <x v="292"/>
    <x v="0"/>
    <x v="0"/>
    <x v="0"/>
    <x v="0"/>
    <x v="0"/>
    <x v="0"/>
    <x v="0"/>
    <x v="0"/>
    <x v="0"/>
    <x v="0"/>
    <n v="42"/>
    <x v="0"/>
    <x v="1"/>
    <x v="0"/>
    <x v="1"/>
  </r>
  <r>
    <x v="293"/>
    <x v="1"/>
    <x v="0"/>
    <x v="4"/>
    <x v="0"/>
    <x v="2"/>
    <x v="3"/>
    <x v="1"/>
    <x v="1"/>
    <x v="1"/>
    <x v="0"/>
    <n v="46"/>
    <x v="0"/>
    <x v="1"/>
    <x v="0"/>
    <x v="1"/>
  </r>
  <r>
    <x v="294"/>
    <x v="1"/>
    <x v="1"/>
    <x v="6"/>
    <x v="3"/>
    <x v="1"/>
    <x v="3"/>
    <x v="1"/>
    <x v="1"/>
    <x v="1"/>
    <x v="0"/>
    <n v="36"/>
    <x v="0"/>
    <x v="1"/>
    <x v="0"/>
    <x v="1"/>
  </r>
  <r>
    <x v="295"/>
    <x v="1"/>
    <x v="0"/>
    <x v="15"/>
    <x v="3"/>
    <x v="1"/>
    <x v="4"/>
    <x v="0"/>
    <x v="4"/>
    <x v="4"/>
    <x v="1"/>
    <n v="32"/>
    <x v="0"/>
    <x v="1"/>
    <x v="1"/>
    <x v="1"/>
  </r>
  <r>
    <x v="296"/>
    <x v="1"/>
    <x v="0"/>
    <x v="10"/>
    <x v="4"/>
    <x v="0"/>
    <x v="2"/>
    <x v="1"/>
    <x v="1"/>
    <x v="0"/>
    <x v="1"/>
    <n v="39"/>
    <x v="0"/>
    <x v="1"/>
    <x v="0"/>
    <x v="1"/>
  </r>
  <r>
    <x v="297"/>
    <x v="0"/>
    <x v="1"/>
    <x v="11"/>
    <x v="0"/>
    <x v="4"/>
    <x v="4"/>
    <x v="0"/>
    <x v="0"/>
    <x v="1"/>
    <x v="1"/>
    <n v="36"/>
    <x v="0"/>
    <x v="1"/>
    <x v="1"/>
    <x v="1"/>
  </r>
  <r>
    <x v="298"/>
    <x v="0"/>
    <x v="0"/>
    <x v="8"/>
    <x v="5"/>
    <x v="2"/>
    <x v="2"/>
    <x v="1"/>
    <x v="2"/>
    <x v="1"/>
    <x v="0"/>
    <n v="54"/>
    <x v="1"/>
    <x v="1"/>
    <x v="1"/>
    <x v="1"/>
  </r>
  <r>
    <x v="299"/>
    <x v="0"/>
    <x v="0"/>
    <x v="1"/>
    <x v="4"/>
    <x v="1"/>
    <x v="1"/>
    <x v="1"/>
    <x v="2"/>
    <x v="2"/>
    <x v="1"/>
    <n v="69"/>
    <x v="1"/>
    <x v="0"/>
    <x v="0"/>
    <x v="0"/>
  </r>
  <r>
    <x v="300"/>
    <x v="1"/>
    <x v="0"/>
    <x v="4"/>
    <x v="2"/>
    <x v="2"/>
    <x v="0"/>
    <x v="1"/>
    <x v="2"/>
    <x v="3"/>
    <x v="1"/>
    <n v="62"/>
    <x v="1"/>
    <x v="0"/>
    <x v="0"/>
    <x v="0"/>
  </r>
  <r>
    <x v="301"/>
    <x v="1"/>
    <x v="0"/>
    <x v="0"/>
    <x v="3"/>
    <x v="0"/>
    <x v="1"/>
    <x v="1"/>
    <x v="0"/>
    <x v="0"/>
    <x v="1"/>
    <n v="28"/>
    <x v="2"/>
    <x v="1"/>
    <x v="0"/>
    <x v="1"/>
  </r>
  <r>
    <x v="302"/>
    <x v="1"/>
    <x v="1"/>
    <x v="1"/>
    <x v="0"/>
    <x v="0"/>
    <x v="1"/>
    <x v="0"/>
    <x v="0"/>
    <x v="0"/>
    <x v="0"/>
    <n v="62"/>
    <x v="1"/>
    <x v="1"/>
    <x v="0"/>
    <x v="1"/>
  </r>
  <r>
    <x v="303"/>
    <x v="0"/>
    <x v="0"/>
    <x v="1"/>
    <x v="0"/>
    <x v="0"/>
    <x v="0"/>
    <x v="0"/>
    <x v="2"/>
    <x v="0"/>
    <x v="0"/>
    <n v="40"/>
    <x v="0"/>
    <x v="0"/>
    <x v="0"/>
    <x v="0"/>
  </r>
  <r>
    <x v="304"/>
    <x v="0"/>
    <x v="1"/>
    <x v="2"/>
    <x v="5"/>
    <x v="4"/>
    <x v="4"/>
    <x v="0"/>
    <x v="1"/>
    <x v="0"/>
    <x v="1"/>
    <n v="36"/>
    <x v="0"/>
    <x v="1"/>
    <x v="1"/>
    <x v="1"/>
  </r>
  <r>
    <x v="305"/>
    <x v="1"/>
    <x v="1"/>
    <x v="4"/>
    <x v="4"/>
    <x v="3"/>
    <x v="1"/>
    <x v="0"/>
    <x v="2"/>
    <x v="2"/>
    <x v="1"/>
    <n v="58"/>
    <x v="1"/>
    <x v="0"/>
    <x v="0"/>
    <x v="0"/>
  </r>
  <r>
    <x v="306"/>
    <x v="0"/>
    <x v="1"/>
    <x v="8"/>
    <x v="4"/>
    <x v="0"/>
    <x v="2"/>
    <x v="0"/>
    <x v="0"/>
    <x v="3"/>
    <x v="1"/>
    <n v="40"/>
    <x v="0"/>
    <x v="1"/>
    <x v="1"/>
    <x v="1"/>
  </r>
  <r>
    <x v="307"/>
    <x v="0"/>
    <x v="1"/>
    <x v="4"/>
    <x v="4"/>
    <x v="0"/>
    <x v="1"/>
    <x v="0"/>
    <x v="1"/>
    <x v="0"/>
    <x v="0"/>
    <n v="66"/>
    <x v="1"/>
    <x v="0"/>
    <x v="0"/>
    <x v="0"/>
  </r>
  <r>
    <x v="308"/>
    <x v="0"/>
    <x v="1"/>
    <x v="0"/>
    <x v="4"/>
    <x v="1"/>
    <x v="1"/>
    <x v="0"/>
    <x v="1"/>
    <x v="3"/>
    <x v="0"/>
    <n v="35"/>
    <x v="0"/>
    <x v="1"/>
    <x v="0"/>
    <x v="1"/>
  </r>
  <r>
    <x v="309"/>
    <x v="0"/>
    <x v="0"/>
    <x v="6"/>
    <x v="4"/>
    <x v="1"/>
    <x v="3"/>
    <x v="0"/>
    <x v="1"/>
    <x v="1"/>
    <x v="0"/>
    <n v="47"/>
    <x v="0"/>
    <x v="1"/>
    <x v="0"/>
    <x v="1"/>
  </r>
  <r>
    <x v="310"/>
    <x v="0"/>
    <x v="1"/>
    <x v="7"/>
    <x v="5"/>
    <x v="0"/>
    <x v="4"/>
    <x v="0"/>
    <x v="1"/>
    <x v="1"/>
    <x v="1"/>
    <n v="47"/>
    <x v="0"/>
    <x v="0"/>
    <x v="1"/>
    <x v="0"/>
  </r>
  <r>
    <x v="311"/>
    <x v="0"/>
    <x v="1"/>
    <x v="10"/>
    <x v="0"/>
    <x v="1"/>
    <x v="0"/>
    <x v="0"/>
    <x v="1"/>
    <x v="2"/>
    <x v="1"/>
    <n v="46"/>
    <x v="0"/>
    <x v="0"/>
    <x v="0"/>
    <x v="0"/>
  </r>
  <r>
    <x v="312"/>
    <x v="0"/>
    <x v="1"/>
    <x v="6"/>
    <x v="5"/>
    <x v="2"/>
    <x v="0"/>
    <x v="0"/>
    <x v="2"/>
    <x v="2"/>
    <x v="1"/>
    <n v="58"/>
    <x v="1"/>
    <x v="1"/>
    <x v="0"/>
    <x v="1"/>
  </r>
  <r>
    <x v="313"/>
    <x v="1"/>
    <x v="1"/>
    <x v="0"/>
    <x v="1"/>
    <x v="3"/>
    <x v="1"/>
    <x v="1"/>
    <x v="2"/>
    <x v="2"/>
    <x v="1"/>
    <n v="52"/>
    <x v="1"/>
    <x v="1"/>
    <x v="0"/>
    <x v="1"/>
  </r>
  <r>
    <x v="314"/>
    <x v="0"/>
    <x v="1"/>
    <x v="2"/>
    <x v="2"/>
    <x v="0"/>
    <x v="2"/>
    <x v="1"/>
    <x v="1"/>
    <x v="0"/>
    <x v="1"/>
    <n v="47"/>
    <x v="0"/>
    <x v="1"/>
    <x v="1"/>
    <x v="1"/>
  </r>
  <r>
    <x v="315"/>
    <x v="1"/>
    <x v="1"/>
    <x v="3"/>
    <x v="3"/>
    <x v="0"/>
    <x v="2"/>
    <x v="1"/>
    <x v="1"/>
    <x v="2"/>
    <x v="1"/>
    <n v="41"/>
    <x v="0"/>
    <x v="0"/>
    <x v="0"/>
    <x v="0"/>
  </r>
  <r>
    <x v="316"/>
    <x v="0"/>
    <x v="1"/>
    <x v="14"/>
    <x v="4"/>
    <x v="4"/>
    <x v="4"/>
    <x v="0"/>
    <x v="1"/>
    <x v="2"/>
    <x v="1"/>
    <n v="64"/>
    <x v="1"/>
    <x v="1"/>
    <x v="0"/>
    <x v="1"/>
  </r>
  <r>
    <x v="317"/>
    <x v="0"/>
    <x v="1"/>
    <x v="1"/>
    <x v="3"/>
    <x v="0"/>
    <x v="1"/>
    <x v="0"/>
    <x v="0"/>
    <x v="0"/>
    <x v="0"/>
    <n v="35"/>
    <x v="0"/>
    <x v="1"/>
    <x v="0"/>
    <x v="1"/>
  </r>
  <r>
    <x v="318"/>
    <x v="0"/>
    <x v="1"/>
    <x v="12"/>
    <x v="5"/>
    <x v="1"/>
    <x v="2"/>
    <x v="1"/>
    <x v="4"/>
    <x v="4"/>
    <x v="0"/>
    <n v="54"/>
    <x v="1"/>
    <x v="0"/>
    <x v="2"/>
    <x v="0"/>
  </r>
  <r>
    <x v="319"/>
    <x v="0"/>
    <x v="0"/>
    <x v="1"/>
    <x v="1"/>
    <x v="0"/>
    <x v="1"/>
    <x v="0"/>
    <x v="0"/>
    <x v="0"/>
    <x v="0"/>
    <n v="45"/>
    <x v="0"/>
    <x v="0"/>
    <x v="0"/>
    <x v="0"/>
  </r>
  <r>
    <x v="320"/>
    <x v="0"/>
    <x v="1"/>
    <x v="11"/>
    <x v="3"/>
    <x v="4"/>
    <x v="4"/>
    <x v="0"/>
    <x v="0"/>
    <x v="1"/>
    <x v="1"/>
    <n v="40"/>
    <x v="0"/>
    <x v="1"/>
    <x v="1"/>
    <x v="1"/>
  </r>
  <r>
    <x v="321"/>
    <x v="1"/>
    <x v="0"/>
    <x v="5"/>
    <x v="3"/>
    <x v="4"/>
    <x v="4"/>
    <x v="1"/>
    <x v="4"/>
    <x v="0"/>
    <x v="1"/>
    <n v="47"/>
    <x v="0"/>
    <x v="1"/>
    <x v="2"/>
    <x v="1"/>
  </r>
  <r>
    <x v="322"/>
    <x v="1"/>
    <x v="0"/>
    <x v="4"/>
    <x v="5"/>
    <x v="3"/>
    <x v="3"/>
    <x v="0"/>
    <x v="2"/>
    <x v="0"/>
    <x v="0"/>
    <n v="41"/>
    <x v="0"/>
    <x v="1"/>
    <x v="0"/>
    <x v="1"/>
  </r>
  <r>
    <x v="323"/>
    <x v="1"/>
    <x v="0"/>
    <x v="0"/>
    <x v="3"/>
    <x v="4"/>
    <x v="1"/>
    <x v="1"/>
    <x v="0"/>
    <x v="0"/>
    <x v="0"/>
    <n v="37"/>
    <x v="0"/>
    <x v="1"/>
    <x v="0"/>
    <x v="1"/>
  </r>
  <r>
    <x v="324"/>
    <x v="0"/>
    <x v="1"/>
    <x v="8"/>
    <x v="5"/>
    <x v="0"/>
    <x v="2"/>
    <x v="0"/>
    <x v="0"/>
    <x v="3"/>
    <x v="1"/>
    <n v="38"/>
    <x v="0"/>
    <x v="1"/>
    <x v="1"/>
    <x v="1"/>
  </r>
  <r>
    <x v="325"/>
    <x v="1"/>
    <x v="1"/>
    <x v="0"/>
    <x v="4"/>
    <x v="1"/>
    <x v="1"/>
    <x v="1"/>
    <x v="2"/>
    <x v="0"/>
    <x v="0"/>
    <n v="36"/>
    <x v="0"/>
    <x v="1"/>
    <x v="0"/>
    <x v="1"/>
  </r>
  <r>
    <x v="326"/>
    <x v="0"/>
    <x v="0"/>
    <x v="6"/>
    <x v="3"/>
    <x v="0"/>
    <x v="1"/>
    <x v="1"/>
    <x v="0"/>
    <x v="0"/>
    <x v="1"/>
    <n v="26"/>
    <x v="2"/>
    <x v="1"/>
    <x v="0"/>
    <x v="1"/>
  </r>
  <r>
    <x v="327"/>
    <x v="0"/>
    <x v="1"/>
    <x v="1"/>
    <x v="0"/>
    <x v="0"/>
    <x v="0"/>
    <x v="0"/>
    <x v="2"/>
    <x v="0"/>
    <x v="0"/>
    <n v="40"/>
    <x v="0"/>
    <x v="0"/>
    <x v="0"/>
    <x v="0"/>
  </r>
  <r>
    <x v="328"/>
    <x v="1"/>
    <x v="1"/>
    <x v="0"/>
    <x v="4"/>
    <x v="1"/>
    <x v="1"/>
    <x v="0"/>
    <x v="2"/>
    <x v="3"/>
    <x v="0"/>
    <n v="36"/>
    <x v="0"/>
    <x v="0"/>
    <x v="0"/>
    <x v="0"/>
  </r>
  <r>
    <x v="329"/>
    <x v="0"/>
    <x v="0"/>
    <x v="8"/>
    <x v="2"/>
    <x v="3"/>
    <x v="0"/>
    <x v="0"/>
    <x v="2"/>
    <x v="4"/>
    <x v="0"/>
    <n v="59"/>
    <x v="1"/>
    <x v="0"/>
    <x v="1"/>
    <x v="0"/>
  </r>
  <r>
    <x v="330"/>
    <x v="1"/>
    <x v="0"/>
    <x v="2"/>
    <x v="3"/>
    <x v="0"/>
    <x v="2"/>
    <x v="0"/>
    <x v="4"/>
    <x v="4"/>
    <x v="1"/>
    <n v="32"/>
    <x v="0"/>
    <x v="0"/>
    <x v="1"/>
    <x v="0"/>
  </r>
  <r>
    <x v="331"/>
    <x v="0"/>
    <x v="1"/>
    <x v="4"/>
    <x v="3"/>
    <x v="3"/>
    <x v="3"/>
    <x v="1"/>
    <x v="2"/>
    <x v="0"/>
    <x v="0"/>
    <n v="30"/>
    <x v="2"/>
    <x v="0"/>
    <x v="0"/>
    <x v="0"/>
  </r>
  <r>
    <x v="332"/>
    <x v="1"/>
    <x v="0"/>
    <x v="6"/>
    <x v="3"/>
    <x v="3"/>
    <x v="3"/>
    <x v="1"/>
    <x v="2"/>
    <x v="3"/>
    <x v="0"/>
    <n v="35"/>
    <x v="0"/>
    <x v="1"/>
    <x v="0"/>
    <x v="1"/>
  </r>
  <r>
    <x v="333"/>
    <x v="0"/>
    <x v="1"/>
    <x v="12"/>
    <x v="1"/>
    <x v="2"/>
    <x v="2"/>
    <x v="0"/>
    <x v="3"/>
    <x v="2"/>
    <x v="0"/>
    <n v="51"/>
    <x v="1"/>
    <x v="1"/>
    <x v="2"/>
    <x v="1"/>
  </r>
  <r>
    <x v="334"/>
    <x v="0"/>
    <x v="1"/>
    <x v="8"/>
    <x v="4"/>
    <x v="0"/>
    <x v="2"/>
    <x v="0"/>
    <x v="1"/>
    <x v="2"/>
    <x v="1"/>
    <n v="47"/>
    <x v="0"/>
    <x v="0"/>
    <x v="1"/>
    <x v="0"/>
  </r>
  <r>
    <x v="335"/>
    <x v="0"/>
    <x v="1"/>
    <x v="2"/>
    <x v="2"/>
    <x v="4"/>
    <x v="4"/>
    <x v="1"/>
    <x v="2"/>
    <x v="0"/>
    <x v="1"/>
    <n v="39"/>
    <x v="0"/>
    <x v="0"/>
    <x v="1"/>
    <x v="0"/>
  </r>
  <r>
    <x v="336"/>
    <x v="1"/>
    <x v="1"/>
    <x v="6"/>
    <x v="3"/>
    <x v="3"/>
    <x v="3"/>
    <x v="1"/>
    <x v="2"/>
    <x v="0"/>
    <x v="0"/>
    <n v="34"/>
    <x v="0"/>
    <x v="0"/>
    <x v="0"/>
    <x v="0"/>
  </r>
  <r>
    <x v="337"/>
    <x v="0"/>
    <x v="1"/>
    <x v="4"/>
    <x v="3"/>
    <x v="3"/>
    <x v="3"/>
    <x v="0"/>
    <x v="2"/>
    <x v="0"/>
    <x v="0"/>
    <n v="32"/>
    <x v="0"/>
    <x v="0"/>
    <x v="0"/>
    <x v="0"/>
  </r>
  <r>
    <x v="338"/>
    <x v="1"/>
    <x v="0"/>
    <x v="7"/>
    <x v="1"/>
    <x v="2"/>
    <x v="2"/>
    <x v="0"/>
    <x v="3"/>
    <x v="2"/>
    <x v="0"/>
    <n v="50"/>
    <x v="0"/>
    <x v="1"/>
    <x v="1"/>
    <x v="1"/>
  </r>
  <r>
    <x v="339"/>
    <x v="0"/>
    <x v="1"/>
    <x v="6"/>
    <x v="0"/>
    <x v="0"/>
    <x v="1"/>
    <x v="0"/>
    <x v="0"/>
    <x v="0"/>
    <x v="0"/>
    <n v="66"/>
    <x v="1"/>
    <x v="0"/>
    <x v="0"/>
    <x v="0"/>
  </r>
  <r>
    <x v="340"/>
    <x v="1"/>
    <x v="1"/>
    <x v="1"/>
    <x v="3"/>
    <x v="1"/>
    <x v="1"/>
    <x v="0"/>
    <x v="1"/>
    <x v="1"/>
    <x v="0"/>
    <n v="30"/>
    <x v="2"/>
    <x v="0"/>
    <x v="0"/>
    <x v="0"/>
  </r>
  <r>
    <x v="341"/>
    <x v="1"/>
    <x v="0"/>
    <x v="1"/>
    <x v="3"/>
    <x v="2"/>
    <x v="3"/>
    <x v="1"/>
    <x v="1"/>
    <x v="1"/>
    <x v="0"/>
    <n v="32"/>
    <x v="0"/>
    <x v="1"/>
    <x v="0"/>
    <x v="1"/>
  </r>
  <r>
    <x v="342"/>
    <x v="1"/>
    <x v="1"/>
    <x v="4"/>
    <x v="3"/>
    <x v="3"/>
    <x v="3"/>
    <x v="0"/>
    <x v="2"/>
    <x v="3"/>
    <x v="0"/>
    <n v="35"/>
    <x v="0"/>
    <x v="0"/>
    <x v="0"/>
    <x v="0"/>
  </r>
  <r>
    <x v="343"/>
    <x v="1"/>
    <x v="0"/>
    <x v="1"/>
    <x v="3"/>
    <x v="2"/>
    <x v="3"/>
    <x v="1"/>
    <x v="1"/>
    <x v="1"/>
    <x v="0"/>
    <n v="32"/>
    <x v="0"/>
    <x v="0"/>
    <x v="0"/>
    <x v="0"/>
  </r>
  <r>
    <x v="344"/>
    <x v="1"/>
    <x v="1"/>
    <x v="1"/>
    <x v="3"/>
    <x v="1"/>
    <x v="1"/>
    <x v="1"/>
    <x v="1"/>
    <x v="1"/>
    <x v="0"/>
    <n v="31"/>
    <x v="0"/>
    <x v="1"/>
    <x v="0"/>
    <x v="1"/>
  </r>
  <r>
    <x v="345"/>
    <x v="0"/>
    <x v="0"/>
    <x v="6"/>
    <x v="0"/>
    <x v="0"/>
    <x v="1"/>
    <x v="0"/>
    <x v="0"/>
    <x v="0"/>
    <x v="0"/>
    <n v="50"/>
    <x v="0"/>
    <x v="1"/>
    <x v="0"/>
    <x v="1"/>
  </r>
  <r>
    <x v="346"/>
    <x v="0"/>
    <x v="1"/>
    <x v="0"/>
    <x v="0"/>
    <x v="0"/>
    <x v="0"/>
    <x v="1"/>
    <x v="0"/>
    <x v="0"/>
    <x v="0"/>
    <n v="43"/>
    <x v="0"/>
    <x v="1"/>
    <x v="0"/>
    <x v="1"/>
  </r>
  <r>
    <x v="347"/>
    <x v="1"/>
    <x v="0"/>
    <x v="10"/>
    <x v="0"/>
    <x v="1"/>
    <x v="0"/>
    <x v="1"/>
    <x v="1"/>
    <x v="0"/>
    <x v="1"/>
    <n v="45"/>
    <x v="0"/>
    <x v="1"/>
    <x v="0"/>
    <x v="1"/>
  </r>
  <r>
    <x v="348"/>
    <x v="0"/>
    <x v="1"/>
    <x v="6"/>
    <x v="4"/>
    <x v="2"/>
    <x v="3"/>
    <x v="0"/>
    <x v="2"/>
    <x v="0"/>
    <x v="0"/>
    <n v="42"/>
    <x v="0"/>
    <x v="0"/>
    <x v="0"/>
    <x v="0"/>
  </r>
  <r>
    <x v="349"/>
    <x v="1"/>
    <x v="0"/>
    <x v="1"/>
    <x v="3"/>
    <x v="1"/>
    <x v="1"/>
    <x v="1"/>
    <x v="1"/>
    <x v="0"/>
    <x v="0"/>
    <n v="29"/>
    <x v="2"/>
    <x v="1"/>
    <x v="0"/>
    <x v="1"/>
  </r>
  <r>
    <x v="350"/>
    <x v="1"/>
    <x v="1"/>
    <x v="6"/>
    <x v="3"/>
    <x v="1"/>
    <x v="3"/>
    <x v="1"/>
    <x v="0"/>
    <x v="0"/>
    <x v="1"/>
    <n v="28"/>
    <x v="2"/>
    <x v="1"/>
    <x v="0"/>
    <x v="1"/>
  </r>
  <r>
    <x v="351"/>
    <x v="1"/>
    <x v="1"/>
    <x v="4"/>
    <x v="1"/>
    <x v="2"/>
    <x v="3"/>
    <x v="0"/>
    <x v="0"/>
    <x v="0"/>
    <x v="0"/>
    <n v="37"/>
    <x v="0"/>
    <x v="1"/>
    <x v="0"/>
    <x v="1"/>
  </r>
  <r>
    <x v="352"/>
    <x v="0"/>
    <x v="0"/>
    <x v="2"/>
    <x v="5"/>
    <x v="1"/>
    <x v="2"/>
    <x v="0"/>
    <x v="2"/>
    <x v="1"/>
    <x v="0"/>
    <n v="53"/>
    <x v="1"/>
    <x v="0"/>
    <x v="1"/>
    <x v="0"/>
  </r>
  <r>
    <x v="353"/>
    <x v="1"/>
    <x v="1"/>
    <x v="0"/>
    <x v="3"/>
    <x v="4"/>
    <x v="1"/>
    <x v="1"/>
    <x v="0"/>
    <x v="0"/>
    <x v="0"/>
    <n v="38"/>
    <x v="0"/>
    <x v="1"/>
    <x v="0"/>
    <x v="1"/>
  </r>
  <r>
    <x v="354"/>
    <x v="1"/>
    <x v="1"/>
    <x v="1"/>
    <x v="0"/>
    <x v="0"/>
    <x v="1"/>
    <x v="1"/>
    <x v="1"/>
    <x v="3"/>
    <x v="0"/>
    <n v="39"/>
    <x v="0"/>
    <x v="0"/>
    <x v="0"/>
    <x v="0"/>
  </r>
  <r>
    <x v="355"/>
    <x v="1"/>
    <x v="1"/>
    <x v="2"/>
    <x v="3"/>
    <x v="0"/>
    <x v="2"/>
    <x v="0"/>
    <x v="4"/>
    <x v="4"/>
    <x v="1"/>
    <n v="32"/>
    <x v="0"/>
    <x v="0"/>
    <x v="1"/>
    <x v="0"/>
  </r>
  <r>
    <x v="356"/>
    <x v="0"/>
    <x v="0"/>
    <x v="13"/>
    <x v="1"/>
    <x v="2"/>
    <x v="2"/>
    <x v="0"/>
    <x v="4"/>
    <x v="0"/>
    <x v="0"/>
    <n v="51"/>
    <x v="1"/>
    <x v="1"/>
    <x v="2"/>
    <x v="1"/>
  </r>
  <r>
    <x v="357"/>
    <x v="1"/>
    <x v="0"/>
    <x v="4"/>
    <x v="3"/>
    <x v="3"/>
    <x v="3"/>
    <x v="0"/>
    <x v="2"/>
    <x v="3"/>
    <x v="0"/>
    <n v="33"/>
    <x v="0"/>
    <x v="0"/>
    <x v="0"/>
    <x v="0"/>
  </r>
  <r>
    <x v="358"/>
    <x v="0"/>
    <x v="1"/>
    <x v="8"/>
    <x v="5"/>
    <x v="2"/>
    <x v="4"/>
    <x v="0"/>
    <x v="4"/>
    <x v="2"/>
    <x v="0"/>
    <n v="58"/>
    <x v="1"/>
    <x v="1"/>
    <x v="1"/>
    <x v="1"/>
  </r>
  <r>
    <x v="359"/>
    <x v="0"/>
    <x v="1"/>
    <x v="2"/>
    <x v="3"/>
    <x v="0"/>
    <x v="2"/>
    <x v="0"/>
    <x v="4"/>
    <x v="4"/>
    <x v="1"/>
    <n v="30"/>
    <x v="2"/>
    <x v="0"/>
    <x v="1"/>
    <x v="0"/>
  </r>
  <r>
    <x v="360"/>
    <x v="1"/>
    <x v="1"/>
    <x v="12"/>
    <x v="3"/>
    <x v="4"/>
    <x v="4"/>
    <x v="0"/>
    <x v="0"/>
    <x v="1"/>
    <x v="1"/>
    <n v="48"/>
    <x v="0"/>
    <x v="1"/>
    <x v="2"/>
    <x v="1"/>
  </r>
  <r>
    <x v="361"/>
    <x v="1"/>
    <x v="0"/>
    <x v="1"/>
    <x v="1"/>
    <x v="1"/>
    <x v="1"/>
    <x v="1"/>
    <x v="2"/>
    <x v="0"/>
    <x v="0"/>
    <n v="27"/>
    <x v="2"/>
    <x v="1"/>
    <x v="0"/>
    <x v="1"/>
  </r>
  <r>
    <x v="362"/>
    <x v="0"/>
    <x v="1"/>
    <x v="0"/>
    <x v="0"/>
    <x v="0"/>
    <x v="0"/>
    <x v="0"/>
    <x v="1"/>
    <x v="0"/>
    <x v="0"/>
    <n v="33"/>
    <x v="0"/>
    <x v="1"/>
    <x v="0"/>
    <x v="1"/>
  </r>
  <r>
    <x v="363"/>
    <x v="0"/>
    <x v="0"/>
    <x v="0"/>
    <x v="4"/>
    <x v="0"/>
    <x v="4"/>
    <x v="0"/>
    <x v="2"/>
    <x v="0"/>
    <x v="1"/>
    <n v="66"/>
    <x v="1"/>
    <x v="1"/>
    <x v="0"/>
    <x v="1"/>
  </r>
  <r>
    <x v="364"/>
    <x v="1"/>
    <x v="0"/>
    <x v="4"/>
    <x v="4"/>
    <x v="2"/>
    <x v="3"/>
    <x v="0"/>
    <x v="1"/>
    <x v="0"/>
    <x v="0"/>
    <n v="38"/>
    <x v="0"/>
    <x v="1"/>
    <x v="0"/>
    <x v="1"/>
  </r>
  <r>
    <x v="365"/>
    <x v="1"/>
    <x v="0"/>
    <x v="0"/>
    <x v="3"/>
    <x v="0"/>
    <x v="1"/>
    <x v="1"/>
    <x v="0"/>
    <x v="0"/>
    <x v="0"/>
    <n v="38"/>
    <x v="0"/>
    <x v="1"/>
    <x v="0"/>
    <x v="1"/>
  </r>
  <r>
    <x v="366"/>
    <x v="0"/>
    <x v="1"/>
    <x v="10"/>
    <x v="0"/>
    <x v="1"/>
    <x v="0"/>
    <x v="0"/>
    <x v="1"/>
    <x v="0"/>
    <x v="1"/>
    <n v="45"/>
    <x v="0"/>
    <x v="1"/>
    <x v="0"/>
    <x v="1"/>
  </r>
  <r>
    <x v="367"/>
    <x v="0"/>
    <x v="0"/>
    <x v="12"/>
    <x v="1"/>
    <x v="1"/>
    <x v="2"/>
    <x v="0"/>
    <x v="4"/>
    <x v="2"/>
    <x v="0"/>
    <n v="50"/>
    <x v="0"/>
    <x v="1"/>
    <x v="2"/>
    <x v="1"/>
  </r>
  <r>
    <x v="368"/>
    <x v="1"/>
    <x v="0"/>
    <x v="1"/>
    <x v="4"/>
    <x v="1"/>
    <x v="1"/>
    <x v="1"/>
    <x v="2"/>
    <x v="2"/>
    <x v="1"/>
    <n v="60"/>
    <x v="1"/>
    <x v="1"/>
    <x v="0"/>
    <x v="1"/>
  </r>
  <r>
    <x v="369"/>
    <x v="1"/>
    <x v="0"/>
    <x v="6"/>
    <x v="4"/>
    <x v="1"/>
    <x v="3"/>
    <x v="1"/>
    <x v="1"/>
    <x v="0"/>
    <x v="0"/>
    <n v="53"/>
    <x v="1"/>
    <x v="1"/>
    <x v="0"/>
    <x v="1"/>
  </r>
  <r>
    <x v="370"/>
    <x v="0"/>
    <x v="0"/>
    <x v="11"/>
    <x v="5"/>
    <x v="0"/>
    <x v="2"/>
    <x v="0"/>
    <x v="1"/>
    <x v="4"/>
    <x v="1"/>
    <n v="46"/>
    <x v="0"/>
    <x v="0"/>
    <x v="1"/>
    <x v="0"/>
  </r>
  <r>
    <x v="371"/>
    <x v="1"/>
    <x v="1"/>
    <x v="2"/>
    <x v="2"/>
    <x v="4"/>
    <x v="4"/>
    <x v="0"/>
    <x v="4"/>
    <x v="0"/>
    <x v="1"/>
    <n v="50"/>
    <x v="0"/>
    <x v="0"/>
    <x v="1"/>
    <x v="0"/>
  </r>
  <r>
    <x v="372"/>
    <x v="0"/>
    <x v="1"/>
    <x v="0"/>
    <x v="0"/>
    <x v="0"/>
    <x v="0"/>
    <x v="0"/>
    <x v="1"/>
    <x v="0"/>
    <x v="0"/>
    <n v="43"/>
    <x v="0"/>
    <x v="1"/>
    <x v="0"/>
    <x v="1"/>
  </r>
  <r>
    <x v="373"/>
    <x v="1"/>
    <x v="1"/>
    <x v="6"/>
    <x v="3"/>
    <x v="2"/>
    <x v="3"/>
    <x v="1"/>
    <x v="1"/>
    <x v="1"/>
    <x v="0"/>
    <n v="30"/>
    <x v="2"/>
    <x v="0"/>
    <x v="0"/>
    <x v="0"/>
  </r>
  <r>
    <x v="374"/>
    <x v="1"/>
    <x v="0"/>
    <x v="2"/>
    <x v="2"/>
    <x v="0"/>
    <x v="2"/>
    <x v="0"/>
    <x v="3"/>
    <x v="3"/>
    <x v="1"/>
    <n v="38"/>
    <x v="0"/>
    <x v="0"/>
    <x v="1"/>
    <x v="0"/>
  </r>
  <r>
    <x v="375"/>
    <x v="0"/>
    <x v="0"/>
    <x v="0"/>
    <x v="0"/>
    <x v="0"/>
    <x v="0"/>
    <x v="0"/>
    <x v="1"/>
    <x v="0"/>
    <x v="0"/>
    <n v="89"/>
    <x v="1"/>
    <x v="0"/>
    <x v="0"/>
    <x v="0"/>
  </r>
  <r>
    <x v="376"/>
    <x v="0"/>
    <x v="1"/>
    <x v="6"/>
    <x v="0"/>
    <x v="0"/>
    <x v="1"/>
    <x v="0"/>
    <x v="0"/>
    <x v="0"/>
    <x v="0"/>
    <n v="64"/>
    <x v="1"/>
    <x v="1"/>
    <x v="0"/>
    <x v="1"/>
  </r>
  <r>
    <x v="377"/>
    <x v="0"/>
    <x v="1"/>
    <x v="12"/>
    <x v="1"/>
    <x v="1"/>
    <x v="2"/>
    <x v="1"/>
    <x v="4"/>
    <x v="2"/>
    <x v="0"/>
    <n v="51"/>
    <x v="1"/>
    <x v="1"/>
    <x v="2"/>
    <x v="1"/>
  </r>
  <r>
    <x v="378"/>
    <x v="0"/>
    <x v="1"/>
    <x v="1"/>
    <x v="1"/>
    <x v="1"/>
    <x v="1"/>
    <x v="1"/>
    <x v="2"/>
    <x v="2"/>
    <x v="1"/>
    <n v="56"/>
    <x v="1"/>
    <x v="0"/>
    <x v="0"/>
    <x v="0"/>
  </r>
  <r>
    <x v="379"/>
    <x v="0"/>
    <x v="1"/>
    <x v="10"/>
    <x v="1"/>
    <x v="0"/>
    <x v="2"/>
    <x v="0"/>
    <x v="2"/>
    <x v="2"/>
    <x v="1"/>
    <n v="43"/>
    <x v="0"/>
    <x v="0"/>
    <x v="0"/>
    <x v="0"/>
  </r>
  <r>
    <x v="380"/>
    <x v="1"/>
    <x v="1"/>
    <x v="3"/>
    <x v="3"/>
    <x v="0"/>
    <x v="2"/>
    <x v="1"/>
    <x v="4"/>
    <x v="4"/>
    <x v="1"/>
    <n v="30"/>
    <x v="2"/>
    <x v="1"/>
    <x v="0"/>
    <x v="1"/>
  </r>
  <r>
    <x v="381"/>
    <x v="0"/>
    <x v="0"/>
    <x v="1"/>
    <x v="4"/>
    <x v="1"/>
    <x v="1"/>
    <x v="0"/>
    <x v="2"/>
    <x v="2"/>
    <x v="1"/>
    <n v="69"/>
    <x v="1"/>
    <x v="0"/>
    <x v="0"/>
    <x v="0"/>
  </r>
  <r>
    <x v="382"/>
    <x v="0"/>
    <x v="1"/>
    <x v="2"/>
    <x v="5"/>
    <x v="1"/>
    <x v="2"/>
    <x v="0"/>
    <x v="2"/>
    <x v="4"/>
    <x v="0"/>
    <n v="53"/>
    <x v="1"/>
    <x v="0"/>
    <x v="1"/>
    <x v="0"/>
  </r>
  <r>
    <x v="383"/>
    <x v="0"/>
    <x v="1"/>
    <x v="0"/>
    <x v="3"/>
    <x v="4"/>
    <x v="1"/>
    <x v="0"/>
    <x v="0"/>
    <x v="0"/>
    <x v="0"/>
    <n v="37"/>
    <x v="0"/>
    <x v="1"/>
    <x v="0"/>
    <x v="1"/>
  </r>
  <r>
    <x v="384"/>
    <x v="1"/>
    <x v="0"/>
    <x v="4"/>
    <x v="3"/>
    <x v="1"/>
    <x v="3"/>
    <x v="1"/>
    <x v="1"/>
    <x v="0"/>
    <x v="1"/>
    <n v="28"/>
    <x v="2"/>
    <x v="1"/>
    <x v="0"/>
    <x v="1"/>
  </r>
  <r>
    <x v="385"/>
    <x v="1"/>
    <x v="1"/>
    <x v="1"/>
    <x v="1"/>
    <x v="1"/>
    <x v="1"/>
    <x v="0"/>
    <x v="0"/>
    <x v="0"/>
    <x v="0"/>
    <n v="43"/>
    <x v="0"/>
    <x v="0"/>
    <x v="0"/>
    <x v="0"/>
  </r>
  <r>
    <x v="386"/>
    <x v="1"/>
    <x v="0"/>
    <x v="7"/>
    <x v="3"/>
    <x v="3"/>
    <x v="2"/>
    <x v="0"/>
    <x v="3"/>
    <x v="4"/>
    <x v="1"/>
    <n v="34"/>
    <x v="0"/>
    <x v="1"/>
    <x v="1"/>
    <x v="1"/>
  </r>
  <r>
    <x v="387"/>
    <x v="1"/>
    <x v="0"/>
    <x v="6"/>
    <x v="3"/>
    <x v="3"/>
    <x v="3"/>
    <x v="1"/>
    <x v="2"/>
    <x v="3"/>
    <x v="0"/>
    <n v="34"/>
    <x v="0"/>
    <x v="1"/>
    <x v="0"/>
    <x v="1"/>
  </r>
  <r>
    <x v="388"/>
    <x v="0"/>
    <x v="0"/>
    <x v="1"/>
    <x v="0"/>
    <x v="0"/>
    <x v="1"/>
    <x v="0"/>
    <x v="0"/>
    <x v="0"/>
    <x v="0"/>
    <n v="64"/>
    <x v="1"/>
    <x v="0"/>
    <x v="0"/>
    <x v="0"/>
  </r>
  <r>
    <x v="389"/>
    <x v="0"/>
    <x v="0"/>
    <x v="2"/>
    <x v="3"/>
    <x v="0"/>
    <x v="2"/>
    <x v="0"/>
    <x v="1"/>
    <x v="3"/>
    <x v="1"/>
    <n v="41"/>
    <x v="0"/>
    <x v="1"/>
    <x v="1"/>
    <x v="1"/>
  </r>
  <r>
    <x v="390"/>
    <x v="1"/>
    <x v="1"/>
    <x v="3"/>
    <x v="3"/>
    <x v="0"/>
    <x v="2"/>
    <x v="1"/>
    <x v="1"/>
    <x v="2"/>
    <x v="1"/>
    <n v="38"/>
    <x v="0"/>
    <x v="0"/>
    <x v="0"/>
    <x v="0"/>
  </r>
  <r>
    <x v="391"/>
    <x v="1"/>
    <x v="0"/>
    <x v="3"/>
    <x v="3"/>
    <x v="0"/>
    <x v="2"/>
    <x v="1"/>
    <x v="1"/>
    <x v="0"/>
    <x v="1"/>
    <n v="41"/>
    <x v="0"/>
    <x v="1"/>
    <x v="0"/>
    <x v="1"/>
  </r>
  <r>
    <x v="392"/>
    <x v="1"/>
    <x v="1"/>
    <x v="6"/>
    <x v="0"/>
    <x v="0"/>
    <x v="1"/>
    <x v="1"/>
    <x v="0"/>
    <x v="0"/>
    <x v="0"/>
    <n v="51"/>
    <x v="1"/>
    <x v="0"/>
    <x v="0"/>
    <x v="0"/>
  </r>
  <r>
    <x v="393"/>
    <x v="0"/>
    <x v="0"/>
    <x v="4"/>
    <x v="3"/>
    <x v="3"/>
    <x v="3"/>
    <x v="0"/>
    <x v="2"/>
    <x v="3"/>
    <x v="0"/>
    <n v="32"/>
    <x v="0"/>
    <x v="0"/>
    <x v="0"/>
    <x v="0"/>
  </r>
  <r>
    <x v="394"/>
    <x v="0"/>
    <x v="0"/>
    <x v="0"/>
    <x v="3"/>
    <x v="0"/>
    <x v="1"/>
    <x v="0"/>
    <x v="0"/>
    <x v="0"/>
    <x v="0"/>
    <n v="38"/>
    <x v="0"/>
    <x v="1"/>
    <x v="0"/>
    <x v="1"/>
  </r>
  <r>
    <x v="395"/>
    <x v="0"/>
    <x v="1"/>
    <x v="1"/>
    <x v="0"/>
    <x v="0"/>
    <x v="1"/>
    <x v="0"/>
    <x v="0"/>
    <x v="0"/>
    <x v="0"/>
    <n v="38"/>
    <x v="0"/>
    <x v="1"/>
    <x v="0"/>
    <x v="1"/>
  </r>
  <r>
    <x v="396"/>
    <x v="1"/>
    <x v="1"/>
    <x v="10"/>
    <x v="4"/>
    <x v="0"/>
    <x v="2"/>
    <x v="0"/>
    <x v="1"/>
    <x v="1"/>
    <x v="1"/>
    <n v="38"/>
    <x v="0"/>
    <x v="1"/>
    <x v="0"/>
    <x v="1"/>
  </r>
  <r>
    <x v="397"/>
    <x v="0"/>
    <x v="0"/>
    <x v="4"/>
    <x v="4"/>
    <x v="3"/>
    <x v="1"/>
    <x v="0"/>
    <x v="2"/>
    <x v="2"/>
    <x v="1"/>
    <n v="58"/>
    <x v="1"/>
    <x v="0"/>
    <x v="0"/>
    <x v="0"/>
  </r>
  <r>
    <x v="398"/>
    <x v="1"/>
    <x v="1"/>
    <x v="1"/>
    <x v="0"/>
    <x v="0"/>
    <x v="1"/>
    <x v="0"/>
    <x v="1"/>
    <x v="3"/>
    <x v="0"/>
    <n v="39"/>
    <x v="0"/>
    <x v="1"/>
    <x v="0"/>
    <x v="1"/>
  </r>
  <r>
    <x v="399"/>
    <x v="1"/>
    <x v="0"/>
    <x v="0"/>
    <x v="4"/>
    <x v="0"/>
    <x v="4"/>
    <x v="1"/>
    <x v="1"/>
    <x v="2"/>
    <x v="1"/>
    <n v="53"/>
    <x v="1"/>
    <x v="1"/>
    <x v="0"/>
    <x v="1"/>
  </r>
  <r>
    <x v="400"/>
    <x v="1"/>
    <x v="0"/>
    <x v="15"/>
    <x v="1"/>
    <x v="0"/>
    <x v="4"/>
    <x v="0"/>
    <x v="3"/>
    <x v="4"/>
    <x v="0"/>
    <n v="53"/>
    <x v="1"/>
    <x v="0"/>
    <x v="1"/>
    <x v="0"/>
  </r>
  <r>
    <x v="401"/>
    <x v="0"/>
    <x v="0"/>
    <x v="0"/>
    <x v="0"/>
    <x v="0"/>
    <x v="1"/>
    <x v="0"/>
    <x v="0"/>
    <x v="0"/>
    <x v="0"/>
    <n v="80"/>
    <x v="1"/>
    <x v="0"/>
    <x v="0"/>
    <x v="0"/>
  </r>
  <r>
    <x v="402"/>
    <x v="0"/>
    <x v="1"/>
    <x v="4"/>
    <x v="0"/>
    <x v="4"/>
    <x v="3"/>
    <x v="0"/>
    <x v="0"/>
    <x v="0"/>
    <x v="0"/>
    <n v="44"/>
    <x v="0"/>
    <x v="0"/>
    <x v="0"/>
    <x v="0"/>
  </r>
  <r>
    <x v="403"/>
    <x v="0"/>
    <x v="1"/>
    <x v="6"/>
    <x v="0"/>
    <x v="4"/>
    <x v="1"/>
    <x v="0"/>
    <x v="0"/>
    <x v="0"/>
    <x v="0"/>
    <n v="44"/>
    <x v="0"/>
    <x v="0"/>
    <x v="0"/>
    <x v="0"/>
  </r>
  <r>
    <x v="404"/>
    <x v="0"/>
    <x v="1"/>
    <x v="1"/>
    <x v="1"/>
    <x v="2"/>
    <x v="0"/>
    <x v="0"/>
    <x v="2"/>
    <x v="2"/>
    <x v="1"/>
    <n v="54"/>
    <x v="1"/>
    <x v="1"/>
    <x v="0"/>
    <x v="1"/>
  </r>
  <r>
    <x v="405"/>
    <x v="0"/>
    <x v="0"/>
    <x v="1"/>
    <x v="3"/>
    <x v="0"/>
    <x v="1"/>
    <x v="0"/>
    <x v="0"/>
    <x v="0"/>
    <x v="0"/>
    <n v="37"/>
    <x v="0"/>
    <x v="1"/>
    <x v="0"/>
    <x v="1"/>
  </r>
  <r>
    <x v="406"/>
    <x v="0"/>
    <x v="0"/>
    <x v="0"/>
    <x v="0"/>
    <x v="0"/>
    <x v="0"/>
    <x v="0"/>
    <x v="0"/>
    <x v="0"/>
    <x v="0"/>
    <n v="41"/>
    <x v="0"/>
    <x v="0"/>
    <x v="0"/>
    <x v="0"/>
  </r>
  <r>
    <x v="407"/>
    <x v="1"/>
    <x v="0"/>
    <x v="8"/>
    <x v="4"/>
    <x v="0"/>
    <x v="2"/>
    <x v="1"/>
    <x v="0"/>
    <x v="0"/>
    <x v="1"/>
    <n v="36"/>
    <x v="0"/>
    <x v="1"/>
    <x v="1"/>
    <x v="1"/>
  </r>
  <r>
    <x v="408"/>
    <x v="1"/>
    <x v="0"/>
    <x v="0"/>
    <x v="4"/>
    <x v="1"/>
    <x v="1"/>
    <x v="0"/>
    <x v="0"/>
    <x v="0"/>
    <x v="0"/>
    <n v="33"/>
    <x v="0"/>
    <x v="0"/>
    <x v="0"/>
    <x v="0"/>
  </r>
  <r>
    <x v="409"/>
    <x v="0"/>
    <x v="0"/>
    <x v="12"/>
    <x v="1"/>
    <x v="1"/>
    <x v="2"/>
    <x v="0"/>
    <x v="3"/>
    <x v="0"/>
    <x v="0"/>
    <n v="52"/>
    <x v="1"/>
    <x v="0"/>
    <x v="2"/>
    <x v="0"/>
  </r>
  <r>
    <x v="410"/>
    <x v="0"/>
    <x v="0"/>
    <x v="6"/>
    <x v="4"/>
    <x v="1"/>
    <x v="3"/>
    <x v="0"/>
    <x v="1"/>
    <x v="0"/>
    <x v="0"/>
    <n v="46"/>
    <x v="0"/>
    <x v="1"/>
    <x v="0"/>
    <x v="1"/>
  </r>
  <r>
    <x v="411"/>
    <x v="0"/>
    <x v="1"/>
    <x v="3"/>
    <x v="2"/>
    <x v="1"/>
    <x v="0"/>
    <x v="0"/>
    <x v="2"/>
    <x v="2"/>
    <x v="1"/>
    <n v="43"/>
    <x v="0"/>
    <x v="0"/>
    <x v="0"/>
    <x v="0"/>
  </r>
  <r>
    <x v="412"/>
    <x v="1"/>
    <x v="1"/>
    <x v="0"/>
    <x v="4"/>
    <x v="1"/>
    <x v="1"/>
    <x v="0"/>
    <x v="0"/>
    <x v="0"/>
    <x v="0"/>
    <n v="34"/>
    <x v="0"/>
    <x v="0"/>
    <x v="0"/>
    <x v="0"/>
  </r>
  <r>
    <x v="413"/>
    <x v="1"/>
    <x v="0"/>
    <x v="1"/>
    <x v="4"/>
    <x v="1"/>
    <x v="1"/>
    <x v="1"/>
    <x v="2"/>
    <x v="2"/>
    <x v="1"/>
    <n v="67"/>
    <x v="1"/>
    <x v="0"/>
    <x v="0"/>
    <x v="0"/>
  </r>
  <r>
    <x v="414"/>
    <x v="0"/>
    <x v="0"/>
    <x v="0"/>
    <x v="3"/>
    <x v="4"/>
    <x v="1"/>
    <x v="0"/>
    <x v="0"/>
    <x v="0"/>
    <x v="0"/>
    <n v="35"/>
    <x v="0"/>
    <x v="1"/>
    <x v="0"/>
    <x v="1"/>
  </r>
  <r>
    <x v="415"/>
    <x v="0"/>
    <x v="0"/>
    <x v="2"/>
    <x v="2"/>
    <x v="4"/>
    <x v="4"/>
    <x v="0"/>
    <x v="4"/>
    <x v="0"/>
    <x v="1"/>
    <n v="40"/>
    <x v="0"/>
    <x v="0"/>
    <x v="1"/>
    <x v="0"/>
  </r>
  <r>
    <x v="416"/>
    <x v="1"/>
    <x v="1"/>
    <x v="10"/>
    <x v="4"/>
    <x v="0"/>
    <x v="2"/>
    <x v="1"/>
    <x v="1"/>
    <x v="0"/>
    <x v="1"/>
    <n v="37"/>
    <x v="0"/>
    <x v="1"/>
    <x v="0"/>
    <x v="1"/>
  </r>
  <r>
    <x v="417"/>
    <x v="1"/>
    <x v="0"/>
    <x v="1"/>
    <x v="4"/>
    <x v="1"/>
    <x v="1"/>
    <x v="1"/>
    <x v="2"/>
    <x v="2"/>
    <x v="1"/>
    <n v="67"/>
    <x v="1"/>
    <x v="0"/>
    <x v="0"/>
    <x v="0"/>
  </r>
  <r>
    <x v="418"/>
    <x v="0"/>
    <x v="1"/>
    <x v="1"/>
    <x v="0"/>
    <x v="0"/>
    <x v="0"/>
    <x v="0"/>
    <x v="2"/>
    <x v="0"/>
    <x v="0"/>
    <n v="41"/>
    <x v="0"/>
    <x v="1"/>
    <x v="0"/>
    <x v="1"/>
  </r>
  <r>
    <x v="419"/>
    <x v="1"/>
    <x v="1"/>
    <x v="4"/>
    <x v="4"/>
    <x v="1"/>
    <x v="3"/>
    <x v="0"/>
    <x v="1"/>
    <x v="0"/>
    <x v="0"/>
    <n v="51"/>
    <x v="1"/>
    <x v="1"/>
    <x v="0"/>
    <x v="1"/>
  </r>
  <r>
    <x v="420"/>
    <x v="0"/>
    <x v="0"/>
    <x v="11"/>
    <x v="4"/>
    <x v="0"/>
    <x v="4"/>
    <x v="0"/>
    <x v="3"/>
    <x v="4"/>
    <x v="0"/>
    <n v="59"/>
    <x v="1"/>
    <x v="0"/>
    <x v="1"/>
    <x v="0"/>
  </r>
  <r>
    <x v="421"/>
    <x v="0"/>
    <x v="1"/>
    <x v="4"/>
    <x v="4"/>
    <x v="1"/>
    <x v="3"/>
    <x v="0"/>
    <x v="0"/>
    <x v="3"/>
    <x v="0"/>
    <n v="51"/>
    <x v="1"/>
    <x v="0"/>
    <x v="0"/>
    <x v="0"/>
  </r>
  <r>
    <x v="422"/>
    <x v="1"/>
    <x v="1"/>
    <x v="15"/>
    <x v="3"/>
    <x v="1"/>
    <x v="4"/>
    <x v="1"/>
    <x v="4"/>
    <x v="4"/>
    <x v="1"/>
    <n v="32"/>
    <x v="0"/>
    <x v="1"/>
    <x v="1"/>
    <x v="1"/>
  </r>
  <r>
    <x v="423"/>
    <x v="1"/>
    <x v="1"/>
    <x v="1"/>
    <x v="3"/>
    <x v="2"/>
    <x v="3"/>
    <x v="0"/>
    <x v="1"/>
    <x v="1"/>
    <x v="0"/>
    <n v="34"/>
    <x v="0"/>
    <x v="1"/>
    <x v="0"/>
    <x v="1"/>
  </r>
  <r>
    <x v="424"/>
    <x v="1"/>
    <x v="0"/>
    <x v="4"/>
    <x v="1"/>
    <x v="3"/>
    <x v="3"/>
    <x v="0"/>
    <x v="2"/>
    <x v="0"/>
    <x v="0"/>
    <n v="43"/>
    <x v="0"/>
    <x v="0"/>
    <x v="0"/>
    <x v="0"/>
  </r>
  <r>
    <x v="425"/>
    <x v="0"/>
    <x v="1"/>
    <x v="0"/>
    <x v="4"/>
    <x v="0"/>
    <x v="4"/>
    <x v="0"/>
    <x v="2"/>
    <x v="0"/>
    <x v="1"/>
    <n v="67"/>
    <x v="1"/>
    <x v="0"/>
    <x v="0"/>
    <x v="0"/>
  </r>
  <r>
    <x v="426"/>
    <x v="1"/>
    <x v="1"/>
    <x v="1"/>
    <x v="3"/>
    <x v="1"/>
    <x v="1"/>
    <x v="1"/>
    <x v="1"/>
    <x v="1"/>
    <x v="0"/>
    <n v="28"/>
    <x v="2"/>
    <x v="0"/>
    <x v="0"/>
    <x v="0"/>
  </r>
  <r>
    <x v="427"/>
    <x v="1"/>
    <x v="0"/>
    <x v="8"/>
    <x v="0"/>
    <x v="4"/>
    <x v="4"/>
    <x v="0"/>
    <x v="0"/>
    <x v="0"/>
    <x v="1"/>
    <n v="36"/>
    <x v="0"/>
    <x v="1"/>
    <x v="1"/>
    <x v="1"/>
  </r>
  <r>
    <x v="428"/>
    <x v="0"/>
    <x v="1"/>
    <x v="15"/>
    <x v="5"/>
    <x v="0"/>
    <x v="4"/>
    <x v="0"/>
    <x v="4"/>
    <x v="1"/>
    <x v="1"/>
    <n v="48"/>
    <x v="0"/>
    <x v="0"/>
    <x v="1"/>
    <x v="0"/>
  </r>
  <r>
    <x v="429"/>
    <x v="1"/>
    <x v="0"/>
    <x v="1"/>
    <x v="3"/>
    <x v="1"/>
    <x v="1"/>
    <x v="0"/>
    <x v="1"/>
    <x v="1"/>
    <x v="0"/>
    <n v="31"/>
    <x v="0"/>
    <x v="0"/>
    <x v="0"/>
    <x v="0"/>
  </r>
  <r>
    <x v="430"/>
    <x v="1"/>
    <x v="0"/>
    <x v="1"/>
    <x v="1"/>
    <x v="2"/>
    <x v="0"/>
    <x v="0"/>
    <x v="2"/>
    <x v="2"/>
    <x v="1"/>
    <n v="55"/>
    <x v="1"/>
    <x v="0"/>
    <x v="0"/>
    <x v="0"/>
  </r>
  <r>
    <x v="431"/>
    <x v="1"/>
    <x v="1"/>
    <x v="6"/>
    <x v="3"/>
    <x v="1"/>
    <x v="3"/>
    <x v="0"/>
    <x v="0"/>
    <x v="0"/>
    <x v="1"/>
    <n v="28"/>
    <x v="2"/>
    <x v="1"/>
    <x v="0"/>
    <x v="1"/>
  </r>
  <r>
    <x v="432"/>
    <x v="0"/>
    <x v="0"/>
    <x v="15"/>
    <x v="3"/>
    <x v="2"/>
    <x v="4"/>
    <x v="0"/>
    <x v="4"/>
    <x v="4"/>
    <x v="1"/>
    <n v="34"/>
    <x v="0"/>
    <x v="1"/>
    <x v="1"/>
    <x v="1"/>
  </r>
  <r>
    <x v="433"/>
    <x v="1"/>
    <x v="0"/>
    <x v="1"/>
    <x v="1"/>
    <x v="1"/>
    <x v="1"/>
    <x v="1"/>
    <x v="1"/>
    <x v="0"/>
    <x v="0"/>
    <n v="26"/>
    <x v="2"/>
    <x v="0"/>
    <x v="0"/>
    <x v="0"/>
  </r>
  <r>
    <x v="434"/>
    <x v="0"/>
    <x v="0"/>
    <x v="1"/>
    <x v="1"/>
    <x v="2"/>
    <x v="0"/>
    <x v="0"/>
    <x v="2"/>
    <x v="2"/>
    <x v="1"/>
    <n v="53"/>
    <x v="1"/>
    <x v="1"/>
    <x v="0"/>
    <x v="1"/>
  </r>
  <r>
    <x v="435"/>
    <x v="1"/>
    <x v="0"/>
    <x v="4"/>
    <x v="4"/>
    <x v="0"/>
    <x v="1"/>
    <x v="1"/>
    <x v="1"/>
    <x v="1"/>
    <x v="0"/>
    <n v="68"/>
    <x v="1"/>
    <x v="0"/>
    <x v="0"/>
    <x v="0"/>
  </r>
  <r>
    <x v="436"/>
    <x v="0"/>
    <x v="0"/>
    <x v="2"/>
    <x v="4"/>
    <x v="2"/>
    <x v="0"/>
    <x v="0"/>
    <x v="2"/>
    <x v="2"/>
    <x v="1"/>
    <n v="50"/>
    <x v="0"/>
    <x v="1"/>
    <x v="1"/>
    <x v="1"/>
  </r>
  <r>
    <x v="437"/>
    <x v="1"/>
    <x v="0"/>
    <x v="1"/>
    <x v="1"/>
    <x v="1"/>
    <x v="1"/>
    <x v="0"/>
    <x v="2"/>
    <x v="0"/>
    <x v="0"/>
    <n v="28"/>
    <x v="2"/>
    <x v="1"/>
    <x v="0"/>
    <x v="1"/>
  </r>
  <r>
    <x v="438"/>
    <x v="1"/>
    <x v="0"/>
    <x v="2"/>
    <x v="3"/>
    <x v="4"/>
    <x v="0"/>
    <x v="1"/>
    <x v="0"/>
    <x v="0"/>
    <x v="0"/>
    <n v="40"/>
    <x v="0"/>
    <x v="1"/>
    <x v="1"/>
    <x v="1"/>
  </r>
  <r>
    <x v="439"/>
    <x v="0"/>
    <x v="1"/>
    <x v="3"/>
    <x v="2"/>
    <x v="1"/>
    <x v="0"/>
    <x v="0"/>
    <x v="2"/>
    <x v="0"/>
    <x v="1"/>
    <n v="44"/>
    <x v="0"/>
    <x v="0"/>
    <x v="0"/>
    <x v="0"/>
  </r>
  <r>
    <x v="440"/>
    <x v="1"/>
    <x v="1"/>
    <x v="8"/>
    <x v="3"/>
    <x v="0"/>
    <x v="2"/>
    <x v="1"/>
    <x v="4"/>
    <x v="4"/>
    <x v="1"/>
    <n v="34"/>
    <x v="0"/>
    <x v="1"/>
    <x v="1"/>
    <x v="1"/>
  </r>
  <r>
    <x v="441"/>
    <x v="0"/>
    <x v="1"/>
    <x v="3"/>
    <x v="4"/>
    <x v="1"/>
    <x v="0"/>
    <x v="0"/>
    <x v="2"/>
    <x v="2"/>
    <x v="1"/>
    <n v="52"/>
    <x v="1"/>
    <x v="1"/>
    <x v="0"/>
    <x v="1"/>
  </r>
  <r>
    <x v="442"/>
    <x v="1"/>
    <x v="1"/>
    <x v="2"/>
    <x v="5"/>
    <x v="4"/>
    <x v="4"/>
    <x v="0"/>
    <x v="0"/>
    <x v="0"/>
    <x v="1"/>
    <n v="36"/>
    <x v="0"/>
    <x v="1"/>
    <x v="1"/>
    <x v="1"/>
  </r>
  <r>
    <x v="443"/>
    <x v="0"/>
    <x v="0"/>
    <x v="0"/>
    <x v="0"/>
    <x v="0"/>
    <x v="0"/>
    <x v="0"/>
    <x v="1"/>
    <x v="0"/>
    <x v="0"/>
    <n v="43"/>
    <x v="0"/>
    <x v="1"/>
    <x v="0"/>
    <x v="1"/>
  </r>
  <r>
    <x v="444"/>
    <x v="1"/>
    <x v="1"/>
    <x v="1"/>
    <x v="3"/>
    <x v="2"/>
    <x v="3"/>
    <x v="1"/>
    <x v="1"/>
    <x v="3"/>
    <x v="0"/>
    <n v="32"/>
    <x v="0"/>
    <x v="0"/>
    <x v="0"/>
    <x v="0"/>
  </r>
  <r>
    <x v="445"/>
    <x v="0"/>
    <x v="0"/>
    <x v="0"/>
    <x v="0"/>
    <x v="0"/>
    <x v="0"/>
    <x v="0"/>
    <x v="1"/>
    <x v="3"/>
    <x v="0"/>
    <n v="32"/>
    <x v="0"/>
    <x v="1"/>
    <x v="0"/>
    <x v="1"/>
  </r>
  <r>
    <x v="446"/>
    <x v="0"/>
    <x v="0"/>
    <x v="12"/>
    <x v="3"/>
    <x v="4"/>
    <x v="4"/>
    <x v="0"/>
    <x v="1"/>
    <x v="4"/>
    <x v="1"/>
    <n v="48"/>
    <x v="0"/>
    <x v="0"/>
    <x v="2"/>
    <x v="0"/>
  </r>
  <r>
    <x v="447"/>
    <x v="0"/>
    <x v="0"/>
    <x v="0"/>
    <x v="0"/>
    <x v="0"/>
    <x v="0"/>
    <x v="0"/>
    <x v="0"/>
    <x v="3"/>
    <x v="0"/>
    <n v="32"/>
    <x v="0"/>
    <x v="1"/>
    <x v="0"/>
    <x v="1"/>
  </r>
  <r>
    <x v="448"/>
    <x v="0"/>
    <x v="0"/>
    <x v="1"/>
    <x v="1"/>
    <x v="4"/>
    <x v="1"/>
    <x v="0"/>
    <x v="0"/>
    <x v="0"/>
    <x v="0"/>
    <n v="46"/>
    <x v="0"/>
    <x v="0"/>
    <x v="0"/>
    <x v="0"/>
  </r>
  <r>
    <x v="449"/>
    <x v="0"/>
    <x v="0"/>
    <x v="0"/>
    <x v="0"/>
    <x v="0"/>
    <x v="0"/>
    <x v="0"/>
    <x v="0"/>
    <x v="0"/>
    <x v="0"/>
    <n v="42"/>
    <x v="0"/>
    <x v="0"/>
    <x v="0"/>
    <x v="0"/>
  </r>
  <r>
    <x v="450"/>
    <x v="1"/>
    <x v="0"/>
    <x v="4"/>
    <x v="4"/>
    <x v="2"/>
    <x v="3"/>
    <x v="0"/>
    <x v="0"/>
    <x v="0"/>
    <x v="0"/>
    <n v="36"/>
    <x v="0"/>
    <x v="1"/>
    <x v="0"/>
    <x v="1"/>
  </r>
  <r>
    <x v="451"/>
    <x v="0"/>
    <x v="0"/>
    <x v="0"/>
    <x v="0"/>
    <x v="0"/>
    <x v="0"/>
    <x v="0"/>
    <x v="0"/>
    <x v="0"/>
    <x v="0"/>
    <n v="41"/>
    <x v="0"/>
    <x v="0"/>
    <x v="0"/>
    <x v="0"/>
  </r>
  <r>
    <x v="452"/>
    <x v="0"/>
    <x v="0"/>
    <x v="1"/>
    <x v="4"/>
    <x v="1"/>
    <x v="1"/>
    <x v="1"/>
    <x v="2"/>
    <x v="0"/>
    <x v="1"/>
    <n v="69"/>
    <x v="1"/>
    <x v="0"/>
    <x v="0"/>
    <x v="0"/>
  </r>
  <r>
    <x v="453"/>
    <x v="1"/>
    <x v="0"/>
    <x v="3"/>
    <x v="2"/>
    <x v="1"/>
    <x v="0"/>
    <x v="0"/>
    <x v="2"/>
    <x v="2"/>
    <x v="1"/>
    <n v="45"/>
    <x v="0"/>
    <x v="0"/>
    <x v="0"/>
    <x v="0"/>
  </r>
  <r>
    <x v="454"/>
    <x v="1"/>
    <x v="1"/>
    <x v="1"/>
    <x v="3"/>
    <x v="2"/>
    <x v="3"/>
    <x v="1"/>
    <x v="1"/>
    <x v="1"/>
    <x v="0"/>
    <n v="34"/>
    <x v="0"/>
    <x v="0"/>
    <x v="0"/>
    <x v="0"/>
  </r>
  <r>
    <x v="455"/>
    <x v="0"/>
    <x v="0"/>
    <x v="2"/>
    <x v="5"/>
    <x v="1"/>
    <x v="2"/>
    <x v="1"/>
    <x v="1"/>
    <x v="1"/>
    <x v="0"/>
    <n v="53"/>
    <x v="1"/>
    <x v="1"/>
    <x v="1"/>
    <x v="1"/>
  </r>
  <r>
    <x v="456"/>
    <x v="1"/>
    <x v="1"/>
    <x v="7"/>
    <x v="1"/>
    <x v="2"/>
    <x v="2"/>
    <x v="1"/>
    <x v="3"/>
    <x v="2"/>
    <x v="0"/>
    <n v="50"/>
    <x v="0"/>
    <x v="0"/>
    <x v="1"/>
    <x v="0"/>
  </r>
  <r>
    <x v="457"/>
    <x v="0"/>
    <x v="0"/>
    <x v="6"/>
    <x v="0"/>
    <x v="1"/>
    <x v="3"/>
    <x v="0"/>
    <x v="0"/>
    <x v="0"/>
    <x v="0"/>
    <n v="65"/>
    <x v="1"/>
    <x v="0"/>
    <x v="0"/>
    <x v="0"/>
  </r>
  <r>
    <x v="458"/>
    <x v="0"/>
    <x v="1"/>
    <x v="7"/>
    <x v="3"/>
    <x v="3"/>
    <x v="2"/>
    <x v="0"/>
    <x v="3"/>
    <x v="4"/>
    <x v="1"/>
    <n v="32"/>
    <x v="0"/>
    <x v="1"/>
    <x v="1"/>
    <x v="1"/>
  </r>
  <r>
    <x v="459"/>
    <x v="1"/>
    <x v="0"/>
    <x v="2"/>
    <x v="3"/>
    <x v="0"/>
    <x v="2"/>
    <x v="1"/>
    <x v="4"/>
    <x v="4"/>
    <x v="1"/>
    <n v="33"/>
    <x v="0"/>
    <x v="0"/>
    <x v="1"/>
    <x v="0"/>
  </r>
  <r>
    <x v="460"/>
    <x v="1"/>
    <x v="1"/>
    <x v="6"/>
    <x v="3"/>
    <x v="3"/>
    <x v="3"/>
    <x v="0"/>
    <x v="2"/>
    <x v="3"/>
    <x v="0"/>
    <n v="31"/>
    <x v="0"/>
    <x v="1"/>
    <x v="0"/>
    <x v="1"/>
  </r>
  <r>
    <x v="461"/>
    <x v="0"/>
    <x v="0"/>
    <x v="7"/>
    <x v="0"/>
    <x v="0"/>
    <x v="4"/>
    <x v="0"/>
    <x v="2"/>
    <x v="0"/>
    <x v="1"/>
    <n v="46"/>
    <x v="0"/>
    <x v="1"/>
    <x v="1"/>
    <x v="1"/>
  </r>
  <r>
    <x v="462"/>
    <x v="0"/>
    <x v="0"/>
    <x v="0"/>
    <x v="3"/>
    <x v="0"/>
    <x v="1"/>
    <x v="0"/>
    <x v="0"/>
    <x v="0"/>
    <x v="0"/>
    <n v="39"/>
    <x v="0"/>
    <x v="1"/>
    <x v="0"/>
    <x v="1"/>
  </r>
  <r>
    <x v="463"/>
    <x v="1"/>
    <x v="1"/>
    <x v="6"/>
    <x v="4"/>
    <x v="2"/>
    <x v="3"/>
    <x v="0"/>
    <x v="1"/>
    <x v="0"/>
    <x v="0"/>
    <n v="40"/>
    <x v="0"/>
    <x v="0"/>
    <x v="0"/>
    <x v="0"/>
  </r>
  <r>
    <x v="464"/>
    <x v="1"/>
    <x v="0"/>
    <x v="1"/>
    <x v="1"/>
    <x v="0"/>
    <x v="1"/>
    <x v="0"/>
    <x v="0"/>
    <x v="0"/>
    <x v="0"/>
    <n v="46"/>
    <x v="0"/>
    <x v="1"/>
    <x v="0"/>
    <x v="1"/>
  </r>
  <r>
    <x v="465"/>
    <x v="0"/>
    <x v="1"/>
    <x v="0"/>
    <x v="4"/>
    <x v="0"/>
    <x v="4"/>
    <x v="0"/>
    <x v="2"/>
    <x v="0"/>
    <x v="1"/>
    <n v="65"/>
    <x v="1"/>
    <x v="0"/>
    <x v="0"/>
    <x v="0"/>
  </r>
  <r>
    <x v="466"/>
    <x v="1"/>
    <x v="0"/>
    <x v="1"/>
    <x v="1"/>
    <x v="0"/>
    <x v="1"/>
    <x v="0"/>
    <x v="0"/>
    <x v="0"/>
    <x v="0"/>
    <n v="47"/>
    <x v="0"/>
    <x v="1"/>
    <x v="0"/>
    <x v="1"/>
  </r>
  <r>
    <x v="467"/>
    <x v="1"/>
    <x v="1"/>
    <x v="11"/>
    <x v="0"/>
    <x v="0"/>
    <x v="4"/>
    <x v="1"/>
    <x v="4"/>
    <x v="0"/>
    <x v="1"/>
    <n v="46"/>
    <x v="0"/>
    <x v="1"/>
    <x v="1"/>
    <x v="1"/>
  </r>
  <r>
    <x v="468"/>
    <x v="0"/>
    <x v="0"/>
    <x v="2"/>
    <x v="2"/>
    <x v="4"/>
    <x v="4"/>
    <x v="0"/>
    <x v="4"/>
    <x v="0"/>
    <x v="1"/>
    <n v="40"/>
    <x v="0"/>
    <x v="0"/>
    <x v="1"/>
    <x v="0"/>
  </r>
  <r>
    <x v="469"/>
    <x v="0"/>
    <x v="0"/>
    <x v="1"/>
    <x v="0"/>
    <x v="0"/>
    <x v="1"/>
    <x v="0"/>
    <x v="0"/>
    <x v="0"/>
    <x v="0"/>
    <n v="65"/>
    <x v="1"/>
    <x v="0"/>
    <x v="0"/>
    <x v="0"/>
  </r>
  <r>
    <x v="470"/>
    <x v="1"/>
    <x v="1"/>
    <x v="1"/>
    <x v="3"/>
    <x v="2"/>
    <x v="3"/>
    <x v="1"/>
    <x v="1"/>
    <x v="3"/>
    <x v="0"/>
    <n v="28"/>
    <x v="2"/>
    <x v="0"/>
    <x v="0"/>
    <x v="0"/>
  </r>
  <r>
    <x v="471"/>
    <x v="1"/>
    <x v="1"/>
    <x v="3"/>
    <x v="3"/>
    <x v="0"/>
    <x v="2"/>
    <x v="1"/>
    <x v="2"/>
    <x v="2"/>
    <x v="1"/>
    <n v="43"/>
    <x v="0"/>
    <x v="1"/>
    <x v="0"/>
    <x v="1"/>
  </r>
  <r>
    <x v="472"/>
    <x v="1"/>
    <x v="0"/>
    <x v="0"/>
    <x v="3"/>
    <x v="4"/>
    <x v="1"/>
    <x v="0"/>
    <x v="0"/>
    <x v="0"/>
    <x v="0"/>
    <n v="38"/>
    <x v="0"/>
    <x v="1"/>
    <x v="0"/>
    <x v="1"/>
  </r>
  <r>
    <x v="473"/>
    <x v="0"/>
    <x v="0"/>
    <x v="1"/>
    <x v="3"/>
    <x v="0"/>
    <x v="1"/>
    <x v="0"/>
    <x v="0"/>
    <x v="0"/>
    <x v="0"/>
    <n v="47"/>
    <x v="0"/>
    <x v="1"/>
    <x v="0"/>
    <x v="1"/>
  </r>
  <r>
    <x v="474"/>
    <x v="0"/>
    <x v="0"/>
    <x v="8"/>
    <x v="4"/>
    <x v="0"/>
    <x v="2"/>
    <x v="1"/>
    <x v="0"/>
    <x v="0"/>
    <x v="1"/>
    <n v="36"/>
    <x v="0"/>
    <x v="1"/>
    <x v="1"/>
    <x v="1"/>
  </r>
  <r>
    <x v="475"/>
    <x v="0"/>
    <x v="1"/>
    <x v="6"/>
    <x v="5"/>
    <x v="2"/>
    <x v="0"/>
    <x v="1"/>
    <x v="2"/>
    <x v="3"/>
    <x v="1"/>
    <n v="60"/>
    <x v="1"/>
    <x v="0"/>
    <x v="0"/>
    <x v="0"/>
  </r>
  <r>
    <x v="476"/>
    <x v="1"/>
    <x v="0"/>
    <x v="3"/>
    <x v="3"/>
    <x v="0"/>
    <x v="2"/>
    <x v="0"/>
    <x v="1"/>
    <x v="2"/>
    <x v="1"/>
    <n v="42"/>
    <x v="0"/>
    <x v="1"/>
    <x v="0"/>
    <x v="1"/>
  </r>
  <r>
    <x v="477"/>
    <x v="0"/>
    <x v="1"/>
    <x v="3"/>
    <x v="4"/>
    <x v="2"/>
    <x v="0"/>
    <x v="1"/>
    <x v="2"/>
    <x v="3"/>
    <x v="1"/>
    <n v="50"/>
    <x v="0"/>
    <x v="1"/>
    <x v="0"/>
    <x v="1"/>
  </r>
  <r>
    <x v="478"/>
    <x v="0"/>
    <x v="1"/>
    <x v="1"/>
    <x v="3"/>
    <x v="0"/>
    <x v="1"/>
    <x v="0"/>
    <x v="0"/>
    <x v="0"/>
    <x v="0"/>
    <n v="35"/>
    <x v="0"/>
    <x v="1"/>
    <x v="0"/>
    <x v="1"/>
  </r>
  <r>
    <x v="479"/>
    <x v="0"/>
    <x v="1"/>
    <x v="0"/>
    <x v="0"/>
    <x v="0"/>
    <x v="0"/>
    <x v="0"/>
    <x v="1"/>
    <x v="0"/>
    <x v="0"/>
    <n v="32"/>
    <x v="0"/>
    <x v="1"/>
    <x v="0"/>
    <x v="1"/>
  </r>
  <r>
    <x v="480"/>
    <x v="0"/>
    <x v="0"/>
    <x v="8"/>
    <x v="0"/>
    <x v="0"/>
    <x v="2"/>
    <x v="0"/>
    <x v="1"/>
    <x v="2"/>
    <x v="1"/>
    <n v="46"/>
    <x v="0"/>
    <x v="0"/>
    <x v="1"/>
    <x v="0"/>
  </r>
  <r>
    <x v="481"/>
    <x v="1"/>
    <x v="0"/>
    <x v="0"/>
    <x v="4"/>
    <x v="1"/>
    <x v="1"/>
    <x v="0"/>
    <x v="0"/>
    <x v="3"/>
    <x v="0"/>
    <n v="33"/>
    <x v="0"/>
    <x v="1"/>
    <x v="0"/>
    <x v="1"/>
  </r>
  <r>
    <x v="482"/>
    <x v="1"/>
    <x v="1"/>
    <x v="0"/>
    <x v="3"/>
    <x v="4"/>
    <x v="1"/>
    <x v="1"/>
    <x v="0"/>
    <x v="0"/>
    <x v="0"/>
    <n v="36"/>
    <x v="0"/>
    <x v="1"/>
    <x v="0"/>
    <x v="1"/>
  </r>
  <r>
    <x v="483"/>
    <x v="0"/>
    <x v="1"/>
    <x v="4"/>
    <x v="0"/>
    <x v="4"/>
    <x v="1"/>
    <x v="0"/>
    <x v="0"/>
    <x v="0"/>
    <x v="0"/>
    <n v="70"/>
    <x v="1"/>
    <x v="0"/>
    <x v="0"/>
    <x v="0"/>
  </r>
  <r>
    <x v="484"/>
    <x v="1"/>
    <x v="0"/>
    <x v="1"/>
    <x v="3"/>
    <x v="1"/>
    <x v="1"/>
    <x v="1"/>
    <x v="1"/>
    <x v="1"/>
    <x v="0"/>
    <n v="31"/>
    <x v="0"/>
    <x v="1"/>
    <x v="0"/>
    <x v="1"/>
  </r>
  <r>
    <x v="485"/>
    <x v="1"/>
    <x v="1"/>
    <x v="1"/>
    <x v="4"/>
    <x v="1"/>
    <x v="1"/>
    <x v="0"/>
    <x v="2"/>
    <x v="0"/>
    <x v="0"/>
    <n v="42"/>
    <x v="0"/>
    <x v="0"/>
    <x v="0"/>
    <x v="0"/>
  </r>
  <r>
    <x v="486"/>
    <x v="0"/>
    <x v="0"/>
    <x v="8"/>
    <x v="5"/>
    <x v="3"/>
    <x v="0"/>
    <x v="0"/>
    <x v="3"/>
    <x v="4"/>
    <x v="0"/>
    <n v="58"/>
    <x v="1"/>
    <x v="0"/>
    <x v="1"/>
    <x v="0"/>
  </r>
  <r>
    <x v="487"/>
    <x v="0"/>
    <x v="1"/>
    <x v="0"/>
    <x v="3"/>
    <x v="0"/>
    <x v="1"/>
    <x v="0"/>
    <x v="0"/>
    <x v="0"/>
    <x v="0"/>
    <n v="39"/>
    <x v="0"/>
    <x v="0"/>
    <x v="0"/>
    <x v="0"/>
  </r>
  <r>
    <x v="488"/>
    <x v="1"/>
    <x v="0"/>
    <x v="4"/>
    <x v="3"/>
    <x v="3"/>
    <x v="3"/>
    <x v="0"/>
    <x v="2"/>
    <x v="3"/>
    <x v="0"/>
    <n v="34"/>
    <x v="0"/>
    <x v="0"/>
    <x v="0"/>
    <x v="0"/>
  </r>
  <r>
    <x v="489"/>
    <x v="0"/>
    <x v="1"/>
    <x v="6"/>
    <x v="3"/>
    <x v="3"/>
    <x v="3"/>
    <x v="0"/>
    <x v="2"/>
    <x v="0"/>
    <x v="0"/>
    <n v="32"/>
    <x v="0"/>
    <x v="0"/>
    <x v="0"/>
    <x v="0"/>
  </r>
  <r>
    <x v="490"/>
    <x v="0"/>
    <x v="1"/>
    <x v="10"/>
    <x v="5"/>
    <x v="0"/>
    <x v="2"/>
    <x v="0"/>
    <x v="0"/>
    <x v="1"/>
    <x v="2"/>
    <n v="46"/>
    <x v="0"/>
    <x v="0"/>
    <x v="0"/>
    <x v="0"/>
  </r>
  <r>
    <x v="491"/>
    <x v="0"/>
    <x v="1"/>
    <x v="3"/>
    <x v="4"/>
    <x v="3"/>
    <x v="0"/>
    <x v="0"/>
    <x v="2"/>
    <x v="2"/>
    <x v="2"/>
    <n v="48"/>
    <x v="0"/>
    <x v="0"/>
    <x v="0"/>
    <x v="0"/>
  </r>
  <r>
    <x v="492"/>
    <x v="1"/>
    <x v="0"/>
    <x v="0"/>
    <x v="1"/>
    <x v="1"/>
    <x v="1"/>
    <x v="0"/>
    <x v="1"/>
    <x v="3"/>
    <x v="2"/>
    <n v="31"/>
    <x v="0"/>
    <x v="1"/>
    <x v="0"/>
    <x v="1"/>
  </r>
  <r>
    <x v="493"/>
    <x v="1"/>
    <x v="1"/>
    <x v="3"/>
    <x v="2"/>
    <x v="0"/>
    <x v="4"/>
    <x v="0"/>
    <x v="4"/>
    <x v="4"/>
    <x v="2"/>
    <n v="60"/>
    <x v="1"/>
    <x v="1"/>
    <x v="0"/>
    <x v="1"/>
  </r>
  <r>
    <x v="494"/>
    <x v="0"/>
    <x v="1"/>
    <x v="3"/>
    <x v="5"/>
    <x v="2"/>
    <x v="2"/>
    <x v="0"/>
    <x v="0"/>
    <x v="2"/>
    <x v="2"/>
    <n v="51"/>
    <x v="1"/>
    <x v="0"/>
    <x v="0"/>
    <x v="0"/>
  </r>
  <r>
    <x v="495"/>
    <x v="0"/>
    <x v="1"/>
    <x v="10"/>
    <x v="4"/>
    <x v="1"/>
    <x v="2"/>
    <x v="0"/>
    <x v="2"/>
    <x v="4"/>
    <x v="2"/>
    <n v="56"/>
    <x v="1"/>
    <x v="0"/>
    <x v="0"/>
    <x v="0"/>
  </r>
  <r>
    <x v="496"/>
    <x v="1"/>
    <x v="0"/>
    <x v="10"/>
    <x v="1"/>
    <x v="0"/>
    <x v="0"/>
    <x v="0"/>
    <x v="1"/>
    <x v="1"/>
    <x v="2"/>
    <n v="40"/>
    <x v="0"/>
    <x v="1"/>
    <x v="0"/>
    <x v="1"/>
  </r>
  <r>
    <x v="497"/>
    <x v="1"/>
    <x v="0"/>
    <x v="3"/>
    <x v="0"/>
    <x v="4"/>
    <x v="2"/>
    <x v="0"/>
    <x v="0"/>
    <x v="1"/>
    <x v="2"/>
    <n v="34"/>
    <x v="0"/>
    <x v="1"/>
    <x v="0"/>
    <x v="1"/>
  </r>
  <r>
    <x v="498"/>
    <x v="0"/>
    <x v="1"/>
    <x v="2"/>
    <x v="0"/>
    <x v="1"/>
    <x v="0"/>
    <x v="0"/>
    <x v="1"/>
    <x v="1"/>
    <x v="2"/>
    <n v="48"/>
    <x v="0"/>
    <x v="1"/>
    <x v="1"/>
    <x v="1"/>
  </r>
  <r>
    <x v="499"/>
    <x v="1"/>
    <x v="0"/>
    <x v="0"/>
    <x v="3"/>
    <x v="2"/>
    <x v="0"/>
    <x v="1"/>
    <x v="2"/>
    <x v="3"/>
    <x v="2"/>
    <n v="31"/>
    <x v="0"/>
    <x v="1"/>
    <x v="0"/>
    <x v="1"/>
  </r>
  <r>
    <x v="500"/>
    <x v="0"/>
    <x v="1"/>
    <x v="10"/>
    <x v="2"/>
    <x v="0"/>
    <x v="2"/>
    <x v="0"/>
    <x v="1"/>
    <x v="1"/>
    <x v="2"/>
    <n v="47"/>
    <x v="0"/>
    <x v="0"/>
    <x v="0"/>
    <x v="0"/>
  </r>
  <r>
    <x v="501"/>
    <x v="0"/>
    <x v="0"/>
    <x v="14"/>
    <x v="3"/>
    <x v="4"/>
    <x v="0"/>
    <x v="0"/>
    <x v="0"/>
    <x v="0"/>
    <x v="2"/>
    <n v="34"/>
    <x v="0"/>
    <x v="0"/>
    <x v="0"/>
    <x v="0"/>
  </r>
  <r>
    <x v="502"/>
    <x v="0"/>
    <x v="1"/>
    <x v="0"/>
    <x v="3"/>
    <x v="1"/>
    <x v="0"/>
    <x v="0"/>
    <x v="1"/>
    <x v="2"/>
    <x v="2"/>
    <n v="29"/>
    <x v="2"/>
    <x v="0"/>
    <x v="0"/>
    <x v="0"/>
  </r>
  <r>
    <x v="503"/>
    <x v="0"/>
    <x v="0"/>
    <x v="12"/>
    <x v="0"/>
    <x v="0"/>
    <x v="4"/>
    <x v="0"/>
    <x v="3"/>
    <x v="1"/>
    <x v="2"/>
    <n v="44"/>
    <x v="0"/>
    <x v="1"/>
    <x v="2"/>
    <x v="1"/>
  </r>
  <r>
    <x v="504"/>
    <x v="0"/>
    <x v="1"/>
    <x v="3"/>
    <x v="4"/>
    <x v="0"/>
    <x v="0"/>
    <x v="0"/>
    <x v="1"/>
    <x v="1"/>
    <x v="2"/>
    <n v="38"/>
    <x v="0"/>
    <x v="1"/>
    <x v="0"/>
    <x v="1"/>
  </r>
  <r>
    <x v="505"/>
    <x v="0"/>
    <x v="1"/>
    <x v="11"/>
    <x v="5"/>
    <x v="1"/>
    <x v="2"/>
    <x v="0"/>
    <x v="3"/>
    <x v="0"/>
    <x v="2"/>
    <n v="40"/>
    <x v="0"/>
    <x v="0"/>
    <x v="1"/>
    <x v="0"/>
  </r>
  <r>
    <x v="506"/>
    <x v="0"/>
    <x v="0"/>
    <x v="3"/>
    <x v="5"/>
    <x v="0"/>
    <x v="2"/>
    <x v="0"/>
    <x v="2"/>
    <x v="1"/>
    <x v="2"/>
    <n v="42"/>
    <x v="0"/>
    <x v="1"/>
    <x v="0"/>
    <x v="1"/>
  </r>
  <r>
    <x v="507"/>
    <x v="0"/>
    <x v="0"/>
    <x v="0"/>
    <x v="0"/>
    <x v="1"/>
    <x v="1"/>
    <x v="0"/>
    <x v="1"/>
    <x v="3"/>
    <x v="2"/>
    <n v="51"/>
    <x v="1"/>
    <x v="1"/>
    <x v="0"/>
    <x v="1"/>
  </r>
  <r>
    <x v="508"/>
    <x v="0"/>
    <x v="1"/>
    <x v="10"/>
    <x v="3"/>
    <x v="1"/>
    <x v="0"/>
    <x v="1"/>
    <x v="2"/>
    <x v="3"/>
    <x v="2"/>
    <n v="29"/>
    <x v="2"/>
    <x v="0"/>
    <x v="0"/>
    <x v="0"/>
  </r>
  <r>
    <x v="509"/>
    <x v="0"/>
    <x v="1"/>
    <x v="2"/>
    <x v="1"/>
    <x v="0"/>
    <x v="2"/>
    <x v="0"/>
    <x v="1"/>
    <x v="1"/>
    <x v="2"/>
    <n v="48"/>
    <x v="0"/>
    <x v="1"/>
    <x v="1"/>
    <x v="1"/>
  </r>
  <r>
    <x v="510"/>
    <x v="1"/>
    <x v="1"/>
    <x v="3"/>
    <x v="3"/>
    <x v="0"/>
    <x v="2"/>
    <x v="1"/>
    <x v="1"/>
    <x v="1"/>
    <x v="2"/>
    <n v="37"/>
    <x v="0"/>
    <x v="1"/>
    <x v="0"/>
    <x v="1"/>
  </r>
  <r>
    <x v="511"/>
    <x v="1"/>
    <x v="1"/>
    <x v="2"/>
    <x v="5"/>
    <x v="0"/>
    <x v="4"/>
    <x v="0"/>
    <x v="0"/>
    <x v="2"/>
    <x v="2"/>
    <n v="66"/>
    <x v="1"/>
    <x v="1"/>
    <x v="1"/>
    <x v="1"/>
  </r>
  <r>
    <x v="512"/>
    <x v="0"/>
    <x v="0"/>
    <x v="10"/>
    <x v="0"/>
    <x v="1"/>
    <x v="0"/>
    <x v="0"/>
    <x v="1"/>
    <x v="0"/>
    <x v="2"/>
    <n v="45"/>
    <x v="0"/>
    <x v="1"/>
    <x v="0"/>
    <x v="1"/>
  </r>
  <r>
    <x v="513"/>
    <x v="1"/>
    <x v="0"/>
    <x v="10"/>
    <x v="5"/>
    <x v="4"/>
    <x v="4"/>
    <x v="0"/>
    <x v="2"/>
    <x v="4"/>
    <x v="2"/>
    <n v="61"/>
    <x v="1"/>
    <x v="1"/>
    <x v="0"/>
    <x v="1"/>
  </r>
  <r>
    <x v="514"/>
    <x v="1"/>
    <x v="1"/>
    <x v="0"/>
    <x v="3"/>
    <x v="0"/>
    <x v="2"/>
    <x v="1"/>
    <x v="1"/>
    <x v="1"/>
    <x v="2"/>
    <n v="45"/>
    <x v="0"/>
    <x v="0"/>
    <x v="0"/>
    <x v="0"/>
  </r>
  <r>
    <x v="515"/>
    <x v="0"/>
    <x v="0"/>
    <x v="3"/>
    <x v="2"/>
    <x v="0"/>
    <x v="2"/>
    <x v="0"/>
    <x v="2"/>
    <x v="1"/>
    <x v="2"/>
    <n v="47"/>
    <x v="0"/>
    <x v="0"/>
    <x v="0"/>
    <x v="0"/>
  </r>
  <r>
    <x v="516"/>
    <x v="0"/>
    <x v="0"/>
    <x v="10"/>
    <x v="4"/>
    <x v="2"/>
    <x v="2"/>
    <x v="0"/>
    <x v="2"/>
    <x v="2"/>
    <x v="2"/>
    <n v="49"/>
    <x v="0"/>
    <x v="0"/>
    <x v="0"/>
    <x v="0"/>
  </r>
  <r>
    <x v="517"/>
    <x v="1"/>
    <x v="1"/>
    <x v="10"/>
    <x v="1"/>
    <x v="0"/>
    <x v="2"/>
    <x v="1"/>
    <x v="0"/>
    <x v="0"/>
    <x v="2"/>
    <n v="47"/>
    <x v="0"/>
    <x v="1"/>
    <x v="0"/>
    <x v="1"/>
  </r>
  <r>
    <x v="518"/>
    <x v="0"/>
    <x v="0"/>
    <x v="2"/>
    <x v="3"/>
    <x v="0"/>
    <x v="4"/>
    <x v="0"/>
    <x v="1"/>
    <x v="3"/>
    <x v="2"/>
    <n v="34"/>
    <x v="0"/>
    <x v="1"/>
    <x v="1"/>
    <x v="1"/>
  </r>
  <r>
    <x v="519"/>
    <x v="0"/>
    <x v="1"/>
    <x v="2"/>
    <x v="2"/>
    <x v="0"/>
    <x v="4"/>
    <x v="0"/>
    <x v="2"/>
    <x v="3"/>
    <x v="2"/>
    <n v="64"/>
    <x v="1"/>
    <x v="0"/>
    <x v="1"/>
    <x v="0"/>
  </r>
  <r>
    <x v="520"/>
    <x v="1"/>
    <x v="1"/>
    <x v="11"/>
    <x v="0"/>
    <x v="1"/>
    <x v="2"/>
    <x v="1"/>
    <x v="4"/>
    <x v="3"/>
    <x v="2"/>
    <n v="44"/>
    <x v="0"/>
    <x v="0"/>
    <x v="1"/>
    <x v="0"/>
  </r>
  <r>
    <x v="521"/>
    <x v="1"/>
    <x v="1"/>
    <x v="0"/>
    <x v="5"/>
    <x v="2"/>
    <x v="2"/>
    <x v="0"/>
    <x v="2"/>
    <x v="4"/>
    <x v="2"/>
    <n v="62"/>
    <x v="1"/>
    <x v="1"/>
    <x v="0"/>
    <x v="1"/>
  </r>
  <r>
    <x v="522"/>
    <x v="1"/>
    <x v="1"/>
    <x v="10"/>
    <x v="1"/>
    <x v="0"/>
    <x v="2"/>
    <x v="1"/>
    <x v="1"/>
    <x v="0"/>
    <x v="2"/>
    <n v="47"/>
    <x v="0"/>
    <x v="1"/>
    <x v="0"/>
    <x v="1"/>
  </r>
  <r>
    <x v="523"/>
    <x v="0"/>
    <x v="1"/>
    <x v="2"/>
    <x v="1"/>
    <x v="1"/>
    <x v="2"/>
    <x v="1"/>
    <x v="2"/>
    <x v="0"/>
    <x v="2"/>
    <n v="49"/>
    <x v="0"/>
    <x v="1"/>
    <x v="1"/>
    <x v="1"/>
  </r>
  <r>
    <x v="524"/>
    <x v="1"/>
    <x v="0"/>
    <x v="2"/>
    <x v="5"/>
    <x v="4"/>
    <x v="4"/>
    <x v="0"/>
    <x v="2"/>
    <x v="2"/>
    <x v="2"/>
    <n v="67"/>
    <x v="1"/>
    <x v="0"/>
    <x v="1"/>
    <x v="0"/>
  </r>
  <r>
    <x v="525"/>
    <x v="1"/>
    <x v="1"/>
    <x v="10"/>
    <x v="2"/>
    <x v="0"/>
    <x v="4"/>
    <x v="0"/>
    <x v="4"/>
    <x v="4"/>
    <x v="2"/>
    <n v="59"/>
    <x v="1"/>
    <x v="1"/>
    <x v="0"/>
    <x v="1"/>
  </r>
  <r>
    <x v="526"/>
    <x v="0"/>
    <x v="0"/>
    <x v="15"/>
    <x v="0"/>
    <x v="0"/>
    <x v="4"/>
    <x v="0"/>
    <x v="2"/>
    <x v="3"/>
    <x v="2"/>
    <n v="44"/>
    <x v="0"/>
    <x v="0"/>
    <x v="1"/>
    <x v="0"/>
  </r>
  <r>
    <x v="527"/>
    <x v="0"/>
    <x v="1"/>
    <x v="14"/>
    <x v="0"/>
    <x v="0"/>
    <x v="0"/>
    <x v="0"/>
    <x v="0"/>
    <x v="0"/>
    <x v="2"/>
    <n v="36"/>
    <x v="0"/>
    <x v="0"/>
    <x v="0"/>
    <x v="0"/>
  </r>
  <r>
    <x v="528"/>
    <x v="1"/>
    <x v="0"/>
    <x v="1"/>
    <x v="3"/>
    <x v="1"/>
    <x v="0"/>
    <x v="0"/>
    <x v="1"/>
    <x v="2"/>
    <x v="2"/>
    <n v="28"/>
    <x v="2"/>
    <x v="0"/>
    <x v="0"/>
    <x v="0"/>
  </r>
  <r>
    <x v="529"/>
    <x v="0"/>
    <x v="1"/>
    <x v="10"/>
    <x v="4"/>
    <x v="1"/>
    <x v="2"/>
    <x v="0"/>
    <x v="1"/>
    <x v="4"/>
    <x v="2"/>
    <n v="57"/>
    <x v="1"/>
    <x v="1"/>
    <x v="0"/>
    <x v="1"/>
  </r>
  <r>
    <x v="530"/>
    <x v="0"/>
    <x v="1"/>
    <x v="10"/>
    <x v="3"/>
    <x v="1"/>
    <x v="0"/>
    <x v="0"/>
    <x v="1"/>
    <x v="2"/>
    <x v="2"/>
    <n v="27"/>
    <x v="2"/>
    <x v="1"/>
    <x v="0"/>
    <x v="1"/>
  </r>
  <r>
    <x v="531"/>
    <x v="1"/>
    <x v="1"/>
    <x v="1"/>
    <x v="3"/>
    <x v="3"/>
    <x v="1"/>
    <x v="0"/>
    <x v="2"/>
    <x v="2"/>
    <x v="2"/>
    <n v="28"/>
    <x v="2"/>
    <x v="0"/>
    <x v="0"/>
    <x v="0"/>
  </r>
  <r>
    <x v="532"/>
    <x v="1"/>
    <x v="0"/>
    <x v="10"/>
    <x v="0"/>
    <x v="0"/>
    <x v="2"/>
    <x v="1"/>
    <x v="1"/>
    <x v="0"/>
    <x v="2"/>
    <n v="44"/>
    <x v="0"/>
    <x v="1"/>
    <x v="0"/>
    <x v="1"/>
  </r>
  <r>
    <x v="533"/>
    <x v="0"/>
    <x v="1"/>
    <x v="10"/>
    <x v="1"/>
    <x v="0"/>
    <x v="4"/>
    <x v="0"/>
    <x v="2"/>
    <x v="4"/>
    <x v="2"/>
    <n v="66"/>
    <x v="1"/>
    <x v="0"/>
    <x v="0"/>
    <x v="0"/>
  </r>
  <r>
    <x v="534"/>
    <x v="0"/>
    <x v="1"/>
    <x v="0"/>
    <x v="5"/>
    <x v="2"/>
    <x v="2"/>
    <x v="0"/>
    <x v="2"/>
    <x v="4"/>
    <x v="2"/>
    <n v="64"/>
    <x v="1"/>
    <x v="0"/>
    <x v="0"/>
    <x v="0"/>
  </r>
  <r>
    <x v="535"/>
    <x v="0"/>
    <x v="1"/>
    <x v="14"/>
    <x v="1"/>
    <x v="0"/>
    <x v="0"/>
    <x v="0"/>
    <x v="4"/>
    <x v="4"/>
    <x v="2"/>
    <n v="41"/>
    <x v="0"/>
    <x v="0"/>
    <x v="0"/>
    <x v="0"/>
  </r>
  <r>
    <x v="536"/>
    <x v="1"/>
    <x v="0"/>
    <x v="2"/>
    <x v="1"/>
    <x v="0"/>
    <x v="0"/>
    <x v="0"/>
    <x v="1"/>
    <x v="0"/>
    <x v="2"/>
    <n v="41"/>
    <x v="0"/>
    <x v="1"/>
    <x v="1"/>
    <x v="1"/>
  </r>
  <r>
    <x v="537"/>
    <x v="0"/>
    <x v="0"/>
    <x v="0"/>
    <x v="0"/>
    <x v="1"/>
    <x v="1"/>
    <x v="0"/>
    <x v="1"/>
    <x v="3"/>
    <x v="2"/>
    <n v="49"/>
    <x v="0"/>
    <x v="1"/>
    <x v="0"/>
    <x v="1"/>
  </r>
  <r>
    <x v="538"/>
    <x v="0"/>
    <x v="0"/>
    <x v="2"/>
    <x v="5"/>
    <x v="0"/>
    <x v="4"/>
    <x v="0"/>
    <x v="0"/>
    <x v="0"/>
    <x v="2"/>
    <n v="42"/>
    <x v="0"/>
    <x v="0"/>
    <x v="1"/>
    <x v="0"/>
  </r>
  <r>
    <x v="539"/>
    <x v="1"/>
    <x v="0"/>
    <x v="3"/>
    <x v="3"/>
    <x v="0"/>
    <x v="2"/>
    <x v="1"/>
    <x v="1"/>
    <x v="1"/>
    <x v="2"/>
    <n v="37"/>
    <x v="0"/>
    <x v="1"/>
    <x v="0"/>
    <x v="1"/>
  </r>
  <r>
    <x v="540"/>
    <x v="1"/>
    <x v="0"/>
    <x v="3"/>
    <x v="1"/>
    <x v="4"/>
    <x v="4"/>
    <x v="0"/>
    <x v="2"/>
    <x v="3"/>
    <x v="2"/>
    <n v="52"/>
    <x v="1"/>
    <x v="0"/>
    <x v="0"/>
    <x v="0"/>
  </r>
  <r>
    <x v="541"/>
    <x v="0"/>
    <x v="1"/>
    <x v="14"/>
    <x v="0"/>
    <x v="4"/>
    <x v="0"/>
    <x v="0"/>
    <x v="0"/>
    <x v="3"/>
    <x v="2"/>
    <n v="34"/>
    <x v="0"/>
    <x v="0"/>
    <x v="0"/>
    <x v="0"/>
  </r>
  <r>
    <x v="542"/>
    <x v="0"/>
    <x v="1"/>
    <x v="0"/>
    <x v="3"/>
    <x v="2"/>
    <x v="0"/>
    <x v="0"/>
    <x v="2"/>
    <x v="2"/>
    <x v="2"/>
    <n v="29"/>
    <x v="2"/>
    <x v="0"/>
    <x v="0"/>
    <x v="0"/>
  </r>
  <r>
    <x v="543"/>
    <x v="0"/>
    <x v="0"/>
    <x v="3"/>
    <x v="4"/>
    <x v="2"/>
    <x v="2"/>
    <x v="0"/>
    <x v="2"/>
    <x v="1"/>
    <x v="2"/>
    <n v="53"/>
    <x v="1"/>
    <x v="0"/>
    <x v="0"/>
    <x v="0"/>
  </r>
  <r>
    <x v="544"/>
    <x v="1"/>
    <x v="1"/>
    <x v="7"/>
    <x v="4"/>
    <x v="0"/>
    <x v="4"/>
    <x v="1"/>
    <x v="3"/>
    <x v="3"/>
    <x v="2"/>
    <n v="40"/>
    <x v="0"/>
    <x v="0"/>
    <x v="1"/>
    <x v="0"/>
  </r>
  <r>
    <x v="545"/>
    <x v="1"/>
    <x v="1"/>
    <x v="10"/>
    <x v="3"/>
    <x v="1"/>
    <x v="0"/>
    <x v="1"/>
    <x v="2"/>
    <x v="3"/>
    <x v="2"/>
    <n v="29"/>
    <x v="2"/>
    <x v="0"/>
    <x v="0"/>
    <x v="0"/>
  </r>
  <r>
    <x v="546"/>
    <x v="0"/>
    <x v="1"/>
    <x v="10"/>
    <x v="5"/>
    <x v="0"/>
    <x v="2"/>
    <x v="0"/>
    <x v="2"/>
    <x v="1"/>
    <x v="2"/>
    <n v="43"/>
    <x v="0"/>
    <x v="1"/>
    <x v="0"/>
    <x v="1"/>
  </r>
  <r>
    <x v="547"/>
    <x v="0"/>
    <x v="1"/>
    <x v="10"/>
    <x v="4"/>
    <x v="2"/>
    <x v="2"/>
    <x v="0"/>
    <x v="2"/>
    <x v="1"/>
    <x v="2"/>
    <n v="55"/>
    <x v="1"/>
    <x v="1"/>
    <x v="0"/>
    <x v="1"/>
  </r>
  <r>
    <x v="548"/>
    <x v="1"/>
    <x v="0"/>
    <x v="2"/>
    <x v="5"/>
    <x v="4"/>
    <x v="0"/>
    <x v="1"/>
    <x v="0"/>
    <x v="0"/>
    <x v="2"/>
    <n v="48"/>
    <x v="0"/>
    <x v="0"/>
    <x v="1"/>
    <x v="0"/>
  </r>
  <r>
    <x v="549"/>
    <x v="0"/>
    <x v="0"/>
    <x v="12"/>
    <x v="1"/>
    <x v="0"/>
    <x v="4"/>
    <x v="0"/>
    <x v="4"/>
    <x v="0"/>
    <x v="2"/>
    <n v="45"/>
    <x v="0"/>
    <x v="1"/>
    <x v="2"/>
    <x v="1"/>
  </r>
  <r>
    <x v="550"/>
    <x v="1"/>
    <x v="0"/>
    <x v="3"/>
    <x v="3"/>
    <x v="0"/>
    <x v="2"/>
    <x v="1"/>
    <x v="1"/>
    <x v="0"/>
    <x v="1"/>
    <n v="42"/>
    <x v="0"/>
    <x v="1"/>
    <x v="0"/>
    <x v="1"/>
  </r>
  <r>
    <x v="551"/>
    <x v="0"/>
    <x v="0"/>
    <x v="14"/>
    <x v="5"/>
    <x v="0"/>
    <x v="4"/>
    <x v="0"/>
    <x v="2"/>
    <x v="4"/>
    <x v="2"/>
    <n v="63"/>
    <x v="1"/>
    <x v="0"/>
    <x v="0"/>
    <x v="0"/>
  </r>
  <r>
    <x v="552"/>
    <x v="1"/>
    <x v="1"/>
    <x v="10"/>
    <x v="1"/>
    <x v="2"/>
    <x v="2"/>
    <x v="0"/>
    <x v="2"/>
    <x v="4"/>
    <x v="2"/>
    <n v="54"/>
    <x v="1"/>
    <x v="1"/>
    <x v="0"/>
    <x v="1"/>
  </r>
  <r>
    <x v="553"/>
    <x v="0"/>
    <x v="1"/>
    <x v="0"/>
    <x v="1"/>
    <x v="1"/>
    <x v="2"/>
    <x v="1"/>
    <x v="2"/>
    <x v="2"/>
    <x v="2"/>
    <n v="73"/>
    <x v="1"/>
    <x v="1"/>
    <x v="0"/>
    <x v="1"/>
  </r>
  <r>
    <x v="554"/>
    <x v="0"/>
    <x v="0"/>
    <x v="10"/>
    <x v="4"/>
    <x v="4"/>
    <x v="2"/>
    <x v="0"/>
    <x v="0"/>
    <x v="1"/>
    <x v="2"/>
    <n v="40"/>
    <x v="0"/>
    <x v="1"/>
    <x v="0"/>
    <x v="1"/>
  </r>
  <r>
    <x v="555"/>
    <x v="1"/>
    <x v="1"/>
    <x v="14"/>
    <x v="3"/>
    <x v="1"/>
    <x v="0"/>
    <x v="1"/>
    <x v="1"/>
    <x v="1"/>
    <x v="2"/>
    <n v="39"/>
    <x v="0"/>
    <x v="1"/>
    <x v="0"/>
    <x v="1"/>
  </r>
  <r>
    <x v="556"/>
    <x v="0"/>
    <x v="1"/>
    <x v="2"/>
    <x v="5"/>
    <x v="0"/>
    <x v="4"/>
    <x v="0"/>
    <x v="0"/>
    <x v="3"/>
    <x v="2"/>
    <n v="42"/>
    <x v="0"/>
    <x v="0"/>
    <x v="1"/>
    <x v="0"/>
  </r>
  <r>
    <x v="557"/>
    <x v="0"/>
    <x v="0"/>
    <x v="0"/>
    <x v="1"/>
    <x v="1"/>
    <x v="1"/>
    <x v="0"/>
    <x v="0"/>
    <x v="3"/>
    <x v="2"/>
    <n v="31"/>
    <x v="0"/>
    <x v="0"/>
    <x v="0"/>
    <x v="0"/>
  </r>
  <r>
    <x v="558"/>
    <x v="0"/>
    <x v="0"/>
    <x v="14"/>
    <x v="1"/>
    <x v="0"/>
    <x v="0"/>
    <x v="0"/>
    <x v="2"/>
    <x v="0"/>
    <x v="2"/>
    <n v="41"/>
    <x v="0"/>
    <x v="0"/>
    <x v="0"/>
    <x v="0"/>
  </r>
  <r>
    <x v="559"/>
    <x v="1"/>
    <x v="0"/>
    <x v="10"/>
    <x v="4"/>
    <x v="0"/>
    <x v="4"/>
    <x v="0"/>
    <x v="0"/>
    <x v="4"/>
    <x v="2"/>
    <n v="58"/>
    <x v="1"/>
    <x v="0"/>
    <x v="0"/>
    <x v="0"/>
  </r>
  <r>
    <x v="560"/>
    <x v="0"/>
    <x v="0"/>
    <x v="10"/>
    <x v="3"/>
    <x v="4"/>
    <x v="2"/>
    <x v="0"/>
    <x v="0"/>
    <x v="0"/>
    <x v="2"/>
    <n v="40"/>
    <x v="0"/>
    <x v="0"/>
    <x v="0"/>
    <x v="0"/>
  </r>
  <r>
    <x v="561"/>
    <x v="0"/>
    <x v="0"/>
    <x v="6"/>
    <x v="4"/>
    <x v="3"/>
    <x v="1"/>
    <x v="1"/>
    <x v="0"/>
    <x v="0"/>
    <x v="2"/>
    <n v="48"/>
    <x v="0"/>
    <x v="0"/>
    <x v="0"/>
    <x v="0"/>
  </r>
  <r>
    <x v="562"/>
    <x v="0"/>
    <x v="0"/>
    <x v="3"/>
    <x v="4"/>
    <x v="4"/>
    <x v="2"/>
    <x v="0"/>
    <x v="0"/>
    <x v="1"/>
    <x v="2"/>
    <n v="34"/>
    <x v="0"/>
    <x v="1"/>
    <x v="0"/>
    <x v="1"/>
  </r>
  <r>
    <x v="563"/>
    <x v="1"/>
    <x v="0"/>
    <x v="1"/>
    <x v="3"/>
    <x v="1"/>
    <x v="0"/>
    <x v="0"/>
    <x v="1"/>
    <x v="2"/>
    <x v="2"/>
    <n v="28"/>
    <x v="2"/>
    <x v="0"/>
    <x v="0"/>
    <x v="0"/>
  </r>
  <r>
    <x v="564"/>
    <x v="1"/>
    <x v="1"/>
    <x v="1"/>
    <x v="3"/>
    <x v="1"/>
    <x v="0"/>
    <x v="0"/>
    <x v="1"/>
    <x v="2"/>
    <x v="2"/>
    <n v="27"/>
    <x v="2"/>
    <x v="0"/>
    <x v="0"/>
    <x v="0"/>
  </r>
  <r>
    <x v="565"/>
    <x v="0"/>
    <x v="1"/>
    <x v="0"/>
    <x v="1"/>
    <x v="1"/>
    <x v="2"/>
    <x v="1"/>
    <x v="2"/>
    <x v="2"/>
    <x v="2"/>
    <n v="54"/>
    <x v="1"/>
    <x v="1"/>
    <x v="0"/>
    <x v="1"/>
  </r>
  <r>
    <x v="566"/>
    <x v="0"/>
    <x v="0"/>
    <x v="10"/>
    <x v="4"/>
    <x v="4"/>
    <x v="4"/>
    <x v="0"/>
    <x v="2"/>
    <x v="2"/>
    <x v="2"/>
    <n v="70"/>
    <x v="1"/>
    <x v="0"/>
    <x v="0"/>
    <x v="0"/>
  </r>
  <r>
    <x v="567"/>
    <x v="0"/>
    <x v="1"/>
    <x v="0"/>
    <x v="0"/>
    <x v="1"/>
    <x v="1"/>
    <x v="0"/>
    <x v="1"/>
    <x v="3"/>
    <x v="2"/>
    <n v="48"/>
    <x v="0"/>
    <x v="1"/>
    <x v="0"/>
    <x v="1"/>
  </r>
  <r>
    <x v="568"/>
    <x v="0"/>
    <x v="1"/>
    <x v="3"/>
    <x v="0"/>
    <x v="1"/>
    <x v="0"/>
    <x v="0"/>
    <x v="1"/>
    <x v="1"/>
    <x v="2"/>
    <n v="44"/>
    <x v="0"/>
    <x v="1"/>
    <x v="0"/>
    <x v="1"/>
  </r>
  <r>
    <x v="569"/>
    <x v="1"/>
    <x v="1"/>
    <x v="14"/>
    <x v="1"/>
    <x v="4"/>
    <x v="4"/>
    <x v="0"/>
    <x v="2"/>
    <x v="4"/>
    <x v="2"/>
    <n v="69"/>
    <x v="1"/>
    <x v="0"/>
    <x v="0"/>
    <x v="0"/>
  </r>
  <r>
    <x v="570"/>
    <x v="0"/>
    <x v="1"/>
    <x v="3"/>
    <x v="1"/>
    <x v="3"/>
    <x v="0"/>
    <x v="0"/>
    <x v="2"/>
    <x v="2"/>
    <x v="2"/>
    <n v="52"/>
    <x v="1"/>
    <x v="0"/>
    <x v="0"/>
    <x v="0"/>
  </r>
  <r>
    <x v="571"/>
    <x v="0"/>
    <x v="1"/>
    <x v="0"/>
    <x v="4"/>
    <x v="3"/>
    <x v="0"/>
    <x v="0"/>
    <x v="2"/>
    <x v="1"/>
    <x v="2"/>
    <n v="55"/>
    <x v="1"/>
    <x v="0"/>
    <x v="0"/>
    <x v="0"/>
  </r>
  <r>
    <x v="572"/>
    <x v="1"/>
    <x v="1"/>
    <x v="1"/>
    <x v="3"/>
    <x v="2"/>
    <x v="0"/>
    <x v="0"/>
    <x v="2"/>
    <x v="2"/>
    <x v="2"/>
    <n v="30"/>
    <x v="2"/>
    <x v="0"/>
    <x v="0"/>
    <x v="0"/>
  </r>
  <r>
    <x v="573"/>
    <x v="0"/>
    <x v="1"/>
    <x v="10"/>
    <x v="1"/>
    <x v="4"/>
    <x v="4"/>
    <x v="0"/>
    <x v="2"/>
    <x v="3"/>
    <x v="2"/>
    <n v="63"/>
    <x v="1"/>
    <x v="0"/>
    <x v="0"/>
    <x v="0"/>
  </r>
  <r>
    <x v="574"/>
    <x v="1"/>
    <x v="0"/>
    <x v="2"/>
    <x v="3"/>
    <x v="0"/>
    <x v="4"/>
    <x v="0"/>
    <x v="1"/>
    <x v="3"/>
    <x v="2"/>
    <n v="34"/>
    <x v="0"/>
    <x v="1"/>
    <x v="1"/>
    <x v="1"/>
  </r>
  <r>
    <x v="575"/>
    <x v="1"/>
    <x v="1"/>
    <x v="10"/>
    <x v="4"/>
    <x v="1"/>
    <x v="2"/>
    <x v="0"/>
    <x v="1"/>
    <x v="4"/>
    <x v="2"/>
    <n v="56"/>
    <x v="1"/>
    <x v="0"/>
    <x v="0"/>
    <x v="0"/>
  </r>
  <r>
    <x v="576"/>
    <x v="1"/>
    <x v="0"/>
    <x v="0"/>
    <x v="3"/>
    <x v="2"/>
    <x v="0"/>
    <x v="0"/>
    <x v="1"/>
    <x v="2"/>
    <x v="2"/>
    <n v="31"/>
    <x v="0"/>
    <x v="0"/>
    <x v="0"/>
    <x v="0"/>
  </r>
  <r>
    <x v="577"/>
    <x v="0"/>
    <x v="1"/>
    <x v="7"/>
    <x v="0"/>
    <x v="0"/>
    <x v="4"/>
    <x v="0"/>
    <x v="3"/>
    <x v="0"/>
    <x v="2"/>
    <n v="38"/>
    <x v="0"/>
    <x v="0"/>
    <x v="1"/>
    <x v="0"/>
  </r>
  <r>
    <x v="578"/>
    <x v="0"/>
    <x v="1"/>
    <x v="10"/>
    <x v="5"/>
    <x v="0"/>
    <x v="4"/>
    <x v="0"/>
    <x v="2"/>
    <x v="1"/>
    <x v="2"/>
    <n v="59"/>
    <x v="1"/>
    <x v="0"/>
    <x v="0"/>
    <x v="0"/>
  </r>
  <r>
    <x v="579"/>
    <x v="1"/>
    <x v="0"/>
    <x v="0"/>
    <x v="1"/>
    <x v="1"/>
    <x v="1"/>
    <x v="1"/>
    <x v="2"/>
    <x v="0"/>
    <x v="2"/>
    <n v="32"/>
    <x v="0"/>
    <x v="0"/>
    <x v="0"/>
    <x v="0"/>
  </r>
  <r>
    <x v="580"/>
    <x v="0"/>
    <x v="0"/>
    <x v="10"/>
    <x v="1"/>
    <x v="4"/>
    <x v="4"/>
    <x v="0"/>
    <x v="2"/>
    <x v="4"/>
    <x v="2"/>
    <n v="69"/>
    <x v="1"/>
    <x v="0"/>
    <x v="0"/>
    <x v="0"/>
  </r>
  <r>
    <x v="581"/>
    <x v="0"/>
    <x v="1"/>
    <x v="0"/>
    <x v="3"/>
    <x v="1"/>
    <x v="0"/>
    <x v="0"/>
    <x v="1"/>
    <x v="2"/>
    <x v="2"/>
    <n v="28"/>
    <x v="2"/>
    <x v="0"/>
    <x v="0"/>
    <x v="0"/>
  </r>
  <r>
    <x v="582"/>
    <x v="0"/>
    <x v="1"/>
    <x v="2"/>
    <x v="5"/>
    <x v="4"/>
    <x v="0"/>
    <x v="0"/>
    <x v="0"/>
    <x v="3"/>
    <x v="2"/>
    <n v="47"/>
    <x v="0"/>
    <x v="0"/>
    <x v="1"/>
    <x v="0"/>
  </r>
  <r>
    <x v="583"/>
    <x v="0"/>
    <x v="1"/>
    <x v="10"/>
    <x v="1"/>
    <x v="0"/>
    <x v="4"/>
    <x v="0"/>
    <x v="2"/>
    <x v="4"/>
    <x v="2"/>
    <n v="66"/>
    <x v="1"/>
    <x v="0"/>
    <x v="0"/>
    <x v="0"/>
  </r>
  <r>
    <x v="584"/>
    <x v="1"/>
    <x v="1"/>
    <x v="3"/>
    <x v="4"/>
    <x v="0"/>
    <x v="0"/>
    <x v="1"/>
    <x v="1"/>
    <x v="0"/>
    <x v="2"/>
    <n v="37"/>
    <x v="0"/>
    <x v="1"/>
    <x v="0"/>
    <x v="1"/>
  </r>
  <r>
    <x v="585"/>
    <x v="1"/>
    <x v="1"/>
    <x v="7"/>
    <x v="4"/>
    <x v="0"/>
    <x v="4"/>
    <x v="1"/>
    <x v="4"/>
    <x v="0"/>
    <x v="2"/>
    <n v="39"/>
    <x v="0"/>
    <x v="1"/>
    <x v="1"/>
    <x v="1"/>
  </r>
  <r>
    <x v="586"/>
    <x v="0"/>
    <x v="1"/>
    <x v="10"/>
    <x v="4"/>
    <x v="2"/>
    <x v="2"/>
    <x v="1"/>
    <x v="2"/>
    <x v="3"/>
    <x v="2"/>
    <n v="51"/>
    <x v="1"/>
    <x v="0"/>
    <x v="0"/>
    <x v="0"/>
  </r>
  <r>
    <x v="587"/>
    <x v="0"/>
    <x v="0"/>
    <x v="12"/>
    <x v="3"/>
    <x v="4"/>
    <x v="4"/>
    <x v="0"/>
    <x v="4"/>
    <x v="3"/>
    <x v="2"/>
    <n v="40"/>
    <x v="0"/>
    <x v="0"/>
    <x v="2"/>
    <x v="0"/>
  </r>
  <r>
    <x v="588"/>
    <x v="0"/>
    <x v="0"/>
    <x v="8"/>
    <x v="4"/>
    <x v="2"/>
    <x v="2"/>
    <x v="0"/>
    <x v="1"/>
    <x v="4"/>
    <x v="2"/>
    <n v="51"/>
    <x v="1"/>
    <x v="1"/>
    <x v="1"/>
    <x v="1"/>
  </r>
  <r>
    <x v="589"/>
    <x v="1"/>
    <x v="1"/>
    <x v="10"/>
    <x v="4"/>
    <x v="0"/>
    <x v="4"/>
    <x v="0"/>
    <x v="0"/>
    <x v="4"/>
    <x v="2"/>
    <n v="57"/>
    <x v="1"/>
    <x v="0"/>
    <x v="0"/>
    <x v="0"/>
  </r>
  <r>
    <x v="590"/>
    <x v="0"/>
    <x v="0"/>
    <x v="10"/>
    <x v="0"/>
    <x v="4"/>
    <x v="2"/>
    <x v="1"/>
    <x v="0"/>
    <x v="0"/>
    <x v="2"/>
    <n v="35"/>
    <x v="0"/>
    <x v="1"/>
    <x v="0"/>
    <x v="1"/>
  </r>
  <r>
    <x v="591"/>
    <x v="0"/>
    <x v="1"/>
    <x v="0"/>
    <x v="5"/>
    <x v="2"/>
    <x v="2"/>
    <x v="1"/>
    <x v="2"/>
    <x v="4"/>
    <x v="2"/>
    <n v="61"/>
    <x v="1"/>
    <x v="1"/>
    <x v="0"/>
    <x v="1"/>
  </r>
  <r>
    <x v="592"/>
    <x v="1"/>
    <x v="0"/>
    <x v="2"/>
    <x v="2"/>
    <x v="1"/>
    <x v="2"/>
    <x v="0"/>
    <x v="2"/>
    <x v="2"/>
    <x v="2"/>
    <n v="44"/>
    <x v="0"/>
    <x v="0"/>
    <x v="1"/>
    <x v="0"/>
  </r>
  <r>
    <x v="593"/>
    <x v="1"/>
    <x v="0"/>
    <x v="3"/>
    <x v="4"/>
    <x v="1"/>
    <x v="2"/>
    <x v="0"/>
    <x v="0"/>
    <x v="2"/>
    <x v="2"/>
    <n v="49"/>
    <x v="0"/>
    <x v="1"/>
    <x v="0"/>
    <x v="1"/>
  </r>
  <r>
    <x v="594"/>
    <x v="0"/>
    <x v="1"/>
    <x v="2"/>
    <x v="5"/>
    <x v="4"/>
    <x v="4"/>
    <x v="0"/>
    <x v="2"/>
    <x v="2"/>
    <x v="2"/>
    <n v="70"/>
    <x v="1"/>
    <x v="0"/>
    <x v="1"/>
    <x v="0"/>
  </r>
  <r>
    <x v="595"/>
    <x v="1"/>
    <x v="0"/>
    <x v="6"/>
    <x v="1"/>
    <x v="2"/>
    <x v="0"/>
    <x v="0"/>
    <x v="2"/>
    <x v="1"/>
    <x v="2"/>
    <n v="78"/>
    <x v="1"/>
    <x v="0"/>
    <x v="0"/>
    <x v="0"/>
  </r>
  <r>
    <x v="596"/>
    <x v="0"/>
    <x v="0"/>
    <x v="8"/>
    <x v="5"/>
    <x v="1"/>
    <x v="2"/>
    <x v="0"/>
    <x v="1"/>
    <x v="3"/>
    <x v="2"/>
    <n v="45"/>
    <x v="0"/>
    <x v="0"/>
    <x v="1"/>
    <x v="0"/>
  </r>
  <r>
    <x v="597"/>
    <x v="1"/>
    <x v="1"/>
    <x v="0"/>
    <x v="4"/>
    <x v="2"/>
    <x v="2"/>
    <x v="1"/>
    <x v="1"/>
    <x v="1"/>
    <x v="2"/>
    <n v="58"/>
    <x v="1"/>
    <x v="1"/>
    <x v="0"/>
    <x v="1"/>
  </r>
  <r>
    <x v="598"/>
    <x v="0"/>
    <x v="1"/>
    <x v="12"/>
    <x v="0"/>
    <x v="4"/>
    <x v="4"/>
    <x v="0"/>
    <x v="3"/>
    <x v="0"/>
    <x v="2"/>
    <n v="41"/>
    <x v="0"/>
    <x v="0"/>
    <x v="2"/>
    <x v="0"/>
  </r>
  <r>
    <x v="599"/>
    <x v="0"/>
    <x v="0"/>
    <x v="10"/>
    <x v="4"/>
    <x v="1"/>
    <x v="2"/>
    <x v="0"/>
    <x v="1"/>
    <x v="1"/>
    <x v="2"/>
    <n v="57"/>
    <x v="1"/>
    <x v="1"/>
    <x v="0"/>
    <x v="1"/>
  </r>
  <r>
    <x v="600"/>
    <x v="0"/>
    <x v="1"/>
    <x v="1"/>
    <x v="4"/>
    <x v="2"/>
    <x v="0"/>
    <x v="1"/>
    <x v="2"/>
    <x v="0"/>
    <x v="2"/>
    <n v="49"/>
    <x v="0"/>
    <x v="0"/>
    <x v="0"/>
    <x v="0"/>
  </r>
  <r>
    <x v="601"/>
    <x v="1"/>
    <x v="1"/>
    <x v="2"/>
    <x v="5"/>
    <x v="1"/>
    <x v="2"/>
    <x v="1"/>
    <x v="2"/>
    <x v="0"/>
    <x v="2"/>
    <n v="43"/>
    <x v="0"/>
    <x v="0"/>
    <x v="1"/>
    <x v="0"/>
  </r>
  <r>
    <x v="602"/>
    <x v="1"/>
    <x v="1"/>
    <x v="10"/>
    <x v="4"/>
    <x v="3"/>
    <x v="0"/>
    <x v="0"/>
    <x v="2"/>
    <x v="2"/>
    <x v="2"/>
    <n v="52"/>
    <x v="1"/>
    <x v="1"/>
    <x v="0"/>
    <x v="1"/>
  </r>
  <r>
    <x v="603"/>
    <x v="0"/>
    <x v="1"/>
    <x v="10"/>
    <x v="0"/>
    <x v="4"/>
    <x v="2"/>
    <x v="0"/>
    <x v="0"/>
    <x v="0"/>
    <x v="2"/>
    <n v="35"/>
    <x v="0"/>
    <x v="1"/>
    <x v="0"/>
    <x v="1"/>
  </r>
  <r>
    <x v="604"/>
    <x v="0"/>
    <x v="1"/>
    <x v="0"/>
    <x v="3"/>
    <x v="2"/>
    <x v="0"/>
    <x v="0"/>
    <x v="2"/>
    <x v="2"/>
    <x v="2"/>
    <n v="27"/>
    <x v="2"/>
    <x v="0"/>
    <x v="0"/>
    <x v="0"/>
  </r>
  <r>
    <x v="605"/>
    <x v="1"/>
    <x v="1"/>
    <x v="3"/>
    <x v="1"/>
    <x v="2"/>
    <x v="2"/>
    <x v="0"/>
    <x v="0"/>
    <x v="2"/>
    <x v="2"/>
    <n v="52"/>
    <x v="1"/>
    <x v="1"/>
    <x v="0"/>
    <x v="1"/>
  </r>
  <r>
    <x v="606"/>
    <x v="1"/>
    <x v="1"/>
    <x v="0"/>
    <x v="4"/>
    <x v="0"/>
    <x v="0"/>
    <x v="0"/>
    <x v="0"/>
    <x v="1"/>
    <x v="2"/>
    <n v="36"/>
    <x v="0"/>
    <x v="0"/>
    <x v="0"/>
    <x v="0"/>
  </r>
  <r>
    <x v="607"/>
    <x v="1"/>
    <x v="0"/>
    <x v="3"/>
    <x v="2"/>
    <x v="4"/>
    <x v="2"/>
    <x v="0"/>
    <x v="4"/>
    <x v="4"/>
    <x v="2"/>
    <n v="46"/>
    <x v="0"/>
    <x v="1"/>
    <x v="0"/>
    <x v="1"/>
  </r>
  <r>
    <x v="608"/>
    <x v="0"/>
    <x v="1"/>
    <x v="10"/>
    <x v="1"/>
    <x v="3"/>
    <x v="0"/>
    <x v="0"/>
    <x v="2"/>
    <x v="2"/>
    <x v="2"/>
    <n v="52"/>
    <x v="1"/>
    <x v="1"/>
    <x v="0"/>
    <x v="1"/>
  </r>
  <r>
    <x v="609"/>
    <x v="0"/>
    <x v="1"/>
    <x v="3"/>
    <x v="3"/>
    <x v="0"/>
    <x v="2"/>
    <x v="1"/>
    <x v="1"/>
    <x v="0"/>
    <x v="2"/>
    <n v="43"/>
    <x v="0"/>
    <x v="0"/>
    <x v="0"/>
    <x v="0"/>
  </r>
  <r>
    <x v="610"/>
    <x v="0"/>
    <x v="1"/>
    <x v="10"/>
    <x v="0"/>
    <x v="1"/>
    <x v="0"/>
    <x v="0"/>
    <x v="1"/>
    <x v="1"/>
    <x v="2"/>
    <n v="44"/>
    <x v="0"/>
    <x v="0"/>
    <x v="0"/>
    <x v="0"/>
  </r>
  <r>
    <x v="611"/>
    <x v="0"/>
    <x v="0"/>
    <x v="2"/>
    <x v="3"/>
    <x v="0"/>
    <x v="4"/>
    <x v="0"/>
    <x v="1"/>
    <x v="3"/>
    <x v="2"/>
    <n v="34"/>
    <x v="0"/>
    <x v="1"/>
    <x v="1"/>
    <x v="1"/>
  </r>
  <r>
    <x v="612"/>
    <x v="1"/>
    <x v="0"/>
    <x v="1"/>
    <x v="3"/>
    <x v="3"/>
    <x v="1"/>
    <x v="0"/>
    <x v="2"/>
    <x v="2"/>
    <x v="2"/>
    <n v="27"/>
    <x v="2"/>
    <x v="0"/>
    <x v="0"/>
    <x v="0"/>
  </r>
  <r>
    <x v="613"/>
    <x v="1"/>
    <x v="1"/>
    <x v="15"/>
    <x v="0"/>
    <x v="1"/>
    <x v="2"/>
    <x v="0"/>
    <x v="3"/>
    <x v="2"/>
    <x v="2"/>
    <n v="45"/>
    <x v="0"/>
    <x v="1"/>
    <x v="1"/>
    <x v="1"/>
  </r>
  <r>
    <x v="614"/>
    <x v="0"/>
    <x v="0"/>
    <x v="11"/>
    <x v="1"/>
    <x v="1"/>
    <x v="2"/>
    <x v="0"/>
    <x v="3"/>
    <x v="3"/>
    <x v="2"/>
    <n v="45"/>
    <x v="0"/>
    <x v="0"/>
    <x v="1"/>
    <x v="0"/>
  </r>
  <r>
    <x v="615"/>
    <x v="1"/>
    <x v="0"/>
    <x v="10"/>
    <x v="5"/>
    <x v="4"/>
    <x v="0"/>
    <x v="1"/>
    <x v="0"/>
    <x v="0"/>
    <x v="2"/>
    <n v="47"/>
    <x v="0"/>
    <x v="1"/>
    <x v="0"/>
    <x v="1"/>
  </r>
  <r>
    <x v="616"/>
    <x v="1"/>
    <x v="0"/>
    <x v="2"/>
    <x v="5"/>
    <x v="4"/>
    <x v="0"/>
    <x v="0"/>
    <x v="0"/>
    <x v="3"/>
    <x v="2"/>
    <n v="47"/>
    <x v="0"/>
    <x v="0"/>
    <x v="1"/>
    <x v="0"/>
  </r>
  <r>
    <x v="617"/>
    <x v="0"/>
    <x v="1"/>
    <x v="0"/>
    <x v="5"/>
    <x v="2"/>
    <x v="0"/>
    <x v="0"/>
    <x v="2"/>
    <x v="1"/>
    <x v="2"/>
    <n v="44"/>
    <x v="0"/>
    <x v="1"/>
    <x v="0"/>
    <x v="1"/>
  </r>
  <r>
    <x v="618"/>
    <x v="1"/>
    <x v="0"/>
    <x v="6"/>
    <x v="1"/>
    <x v="3"/>
    <x v="1"/>
    <x v="1"/>
    <x v="2"/>
    <x v="0"/>
    <x v="2"/>
    <n v="49"/>
    <x v="0"/>
    <x v="0"/>
    <x v="0"/>
    <x v="0"/>
  </r>
  <r>
    <x v="619"/>
    <x v="1"/>
    <x v="0"/>
    <x v="0"/>
    <x v="3"/>
    <x v="2"/>
    <x v="0"/>
    <x v="0"/>
    <x v="1"/>
    <x v="2"/>
    <x v="2"/>
    <n v="30"/>
    <x v="2"/>
    <x v="0"/>
    <x v="0"/>
    <x v="0"/>
  </r>
  <r>
    <x v="620"/>
    <x v="0"/>
    <x v="0"/>
    <x v="11"/>
    <x v="5"/>
    <x v="1"/>
    <x v="2"/>
    <x v="0"/>
    <x v="3"/>
    <x v="1"/>
    <x v="2"/>
    <n v="41"/>
    <x v="0"/>
    <x v="1"/>
    <x v="1"/>
    <x v="1"/>
  </r>
  <r>
    <x v="621"/>
    <x v="0"/>
    <x v="1"/>
    <x v="3"/>
    <x v="5"/>
    <x v="0"/>
    <x v="4"/>
    <x v="0"/>
    <x v="1"/>
    <x v="3"/>
    <x v="2"/>
    <n v="58"/>
    <x v="1"/>
    <x v="0"/>
    <x v="0"/>
    <x v="0"/>
  </r>
  <r>
    <x v="622"/>
    <x v="0"/>
    <x v="1"/>
    <x v="10"/>
    <x v="2"/>
    <x v="0"/>
    <x v="2"/>
    <x v="0"/>
    <x v="1"/>
    <x v="1"/>
    <x v="2"/>
    <n v="47"/>
    <x v="0"/>
    <x v="0"/>
    <x v="0"/>
    <x v="0"/>
  </r>
  <r>
    <x v="623"/>
    <x v="0"/>
    <x v="0"/>
    <x v="3"/>
    <x v="5"/>
    <x v="1"/>
    <x v="2"/>
    <x v="0"/>
    <x v="1"/>
    <x v="3"/>
    <x v="2"/>
    <n v="55"/>
    <x v="1"/>
    <x v="0"/>
    <x v="0"/>
    <x v="0"/>
  </r>
  <r>
    <x v="624"/>
    <x v="1"/>
    <x v="0"/>
    <x v="3"/>
    <x v="3"/>
    <x v="1"/>
    <x v="0"/>
    <x v="1"/>
    <x v="2"/>
    <x v="0"/>
    <x v="2"/>
    <n v="27"/>
    <x v="2"/>
    <x v="1"/>
    <x v="0"/>
    <x v="1"/>
  </r>
  <r>
    <x v="625"/>
    <x v="0"/>
    <x v="1"/>
    <x v="10"/>
    <x v="1"/>
    <x v="4"/>
    <x v="4"/>
    <x v="0"/>
    <x v="2"/>
    <x v="3"/>
    <x v="2"/>
    <n v="67"/>
    <x v="1"/>
    <x v="0"/>
    <x v="0"/>
    <x v="0"/>
  </r>
  <r>
    <x v="626"/>
    <x v="0"/>
    <x v="0"/>
    <x v="10"/>
    <x v="3"/>
    <x v="1"/>
    <x v="0"/>
    <x v="0"/>
    <x v="2"/>
    <x v="2"/>
    <x v="2"/>
    <n v="29"/>
    <x v="2"/>
    <x v="0"/>
    <x v="0"/>
    <x v="0"/>
  </r>
  <r>
    <x v="627"/>
    <x v="0"/>
    <x v="0"/>
    <x v="10"/>
    <x v="1"/>
    <x v="4"/>
    <x v="4"/>
    <x v="0"/>
    <x v="2"/>
    <x v="3"/>
    <x v="2"/>
    <n v="67"/>
    <x v="1"/>
    <x v="0"/>
    <x v="0"/>
    <x v="0"/>
  </r>
  <r>
    <x v="628"/>
    <x v="1"/>
    <x v="1"/>
    <x v="2"/>
    <x v="1"/>
    <x v="1"/>
    <x v="2"/>
    <x v="1"/>
    <x v="1"/>
    <x v="3"/>
    <x v="2"/>
    <n v="51"/>
    <x v="1"/>
    <x v="1"/>
    <x v="1"/>
    <x v="1"/>
  </r>
  <r>
    <x v="629"/>
    <x v="0"/>
    <x v="0"/>
    <x v="14"/>
    <x v="0"/>
    <x v="4"/>
    <x v="0"/>
    <x v="0"/>
    <x v="0"/>
    <x v="0"/>
    <x v="2"/>
    <n v="35"/>
    <x v="0"/>
    <x v="0"/>
    <x v="0"/>
    <x v="0"/>
  </r>
  <r>
    <x v="630"/>
    <x v="0"/>
    <x v="1"/>
    <x v="0"/>
    <x v="3"/>
    <x v="2"/>
    <x v="0"/>
    <x v="1"/>
    <x v="2"/>
    <x v="3"/>
    <x v="2"/>
    <n v="30"/>
    <x v="2"/>
    <x v="0"/>
    <x v="0"/>
    <x v="0"/>
  </r>
  <r>
    <x v="631"/>
    <x v="1"/>
    <x v="1"/>
    <x v="3"/>
    <x v="2"/>
    <x v="1"/>
    <x v="2"/>
    <x v="0"/>
    <x v="4"/>
    <x v="1"/>
    <x v="2"/>
    <n v="44"/>
    <x v="0"/>
    <x v="0"/>
    <x v="0"/>
    <x v="0"/>
  </r>
  <r>
    <x v="632"/>
    <x v="1"/>
    <x v="0"/>
    <x v="2"/>
    <x v="5"/>
    <x v="4"/>
    <x v="0"/>
    <x v="0"/>
    <x v="0"/>
    <x v="3"/>
    <x v="2"/>
    <n v="48"/>
    <x v="0"/>
    <x v="0"/>
    <x v="1"/>
    <x v="0"/>
  </r>
  <r>
    <x v="633"/>
    <x v="0"/>
    <x v="0"/>
    <x v="12"/>
    <x v="0"/>
    <x v="0"/>
    <x v="4"/>
    <x v="0"/>
    <x v="2"/>
    <x v="0"/>
    <x v="2"/>
    <n v="45"/>
    <x v="0"/>
    <x v="1"/>
    <x v="2"/>
    <x v="1"/>
  </r>
  <r>
    <x v="634"/>
    <x v="0"/>
    <x v="1"/>
    <x v="10"/>
    <x v="1"/>
    <x v="0"/>
    <x v="4"/>
    <x v="1"/>
    <x v="2"/>
    <x v="3"/>
    <x v="2"/>
    <n v="66"/>
    <x v="1"/>
    <x v="0"/>
    <x v="0"/>
    <x v="0"/>
  </r>
  <r>
    <x v="635"/>
    <x v="1"/>
    <x v="0"/>
    <x v="1"/>
    <x v="4"/>
    <x v="2"/>
    <x v="0"/>
    <x v="1"/>
    <x v="2"/>
    <x v="0"/>
    <x v="2"/>
    <n v="49"/>
    <x v="0"/>
    <x v="0"/>
    <x v="0"/>
    <x v="0"/>
  </r>
  <r>
    <x v="636"/>
    <x v="1"/>
    <x v="0"/>
    <x v="7"/>
    <x v="5"/>
    <x v="1"/>
    <x v="2"/>
    <x v="0"/>
    <x v="4"/>
    <x v="2"/>
    <x v="2"/>
    <n v="43"/>
    <x v="0"/>
    <x v="1"/>
    <x v="1"/>
    <x v="1"/>
  </r>
  <r>
    <x v="637"/>
    <x v="1"/>
    <x v="1"/>
    <x v="0"/>
    <x v="3"/>
    <x v="2"/>
    <x v="0"/>
    <x v="1"/>
    <x v="2"/>
    <x v="3"/>
    <x v="2"/>
    <n v="30"/>
    <x v="2"/>
    <x v="0"/>
    <x v="0"/>
    <x v="0"/>
  </r>
  <r>
    <x v="638"/>
    <x v="1"/>
    <x v="1"/>
    <x v="3"/>
    <x v="3"/>
    <x v="4"/>
    <x v="4"/>
    <x v="0"/>
    <x v="2"/>
    <x v="2"/>
    <x v="2"/>
    <n v="74"/>
    <x v="1"/>
    <x v="1"/>
    <x v="0"/>
    <x v="1"/>
  </r>
  <r>
    <x v="639"/>
    <x v="0"/>
    <x v="1"/>
    <x v="11"/>
    <x v="4"/>
    <x v="4"/>
    <x v="4"/>
    <x v="0"/>
    <x v="4"/>
    <x v="3"/>
    <x v="2"/>
    <n v="65"/>
    <x v="1"/>
    <x v="0"/>
    <x v="1"/>
    <x v="0"/>
  </r>
  <r>
    <x v="640"/>
    <x v="0"/>
    <x v="0"/>
    <x v="10"/>
    <x v="4"/>
    <x v="1"/>
    <x v="2"/>
    <x v="0"/>
    <x v="2"/>
    <x v="1"/>
    <x v="2"/>
    <n v="56"/>
    <x v="1"/>
    <x v="1"/>
    <x v="0"/>
    <x v="1"/>
  </r>
  <r>
    <x v="641"/>
    <x v="0"/>
    <x v="1"/>
    <x v="14"/>
    <x v="5"/>
    <x v="0"/>
    <x v="4"/>
    <x v="0"/>
    <x v="2"/>
    <x v="4"/>
    <x v="2"/>
    <n v="64"/>
    <x v="1"/>
    <x v="0"/>
    <x v="0"/>
    <x v="0"/>
  </r>
  <r>
    <x v="642"/>
    <x v="0"/>
    <x v="0"/>
    <x v="3"/>
    <x v="1"/>
    <x v="1"/>
    <x v="2"/>
    <x v="0"/>
    <x v="2"/>
    <x v="2"/>
    <x v="2"/>
    <n v="50"/>
    <x v="0"/>
    <x v="1"/>
    <x v="0"/>
    <x v="1"/>
  </r>
  <r>
    <x v="643"/>
    <x v="0"/>
    <x v="0"/>
    <x v="3"/>
    <x v="1"/>
    <x v="4"/>
    <x v="2"/>
    <x v="0"/>
    <x v="0"/>
    <x v="1"/>
    <x v="2"/>
    <n v="35"/>
    <x v="0"/>
    <x v="1"/>
    <x v="0"/>
    <x v="1"/>
  </r>
  <r>
    <x v="644"/>
    <x v="0"/>
    <x v="0"/>
    <x v="10"/>
    <x v="2"/>
    <x v="0"/>
    <x v="0"/>
    <x v="0"/>
    <x v="4"/>
    <x v="4"/>
    <x v="2"/>
    <n v="41"/>
    <x v="0"/>
    <x v="0"/>
    <x v="0"/>
    <x v="0"/>
  </r>
  <r>
    <x v="645"/>
    <x v="1"/>
    <x v="0"/>
    <x v="10"/>
    <x v="3"/>
    <x v="4"/>
    <x v="0"/>
    <x v="0"/>
    <x v="0"/>
    <x v="0"/>
    <x v="2"/>
    <n v="39"/>
    <x v="0"/>
    <x v="0"/>
    <x v="0"/>
    <x v="0"/>
  </r>
  <r>
    <x v="646"/>
    <x v="1"/>
    <x v="0"/>
    <x v="10"/>
    <x v="5"/>
    <x v="4"/>
    <x v="0"/>
    <x v="1"/>
    <x v="0"/>
    <x v="3"/>
    <x v="2"/>
    <n v="47"/>
    <x v="0"/>
    <x v="0"/>
    <x v="0"/>
    <x v="0"/>
  </r>
  <r>
    <x v="647"/>
    <x v="1"/>
    <x v="1"/>
    <x v="0"/>
    <x v="3"/>
    <x v="2"/>
    <x v="0"/>
    <x v="0"/>
    <x v="2"/>
    <x v="2"/>
    <x v="2"/>
    <n v="31"/>
    <x v="0"/>
    <x v="0"/>
    <x v="0"/>
    <x v="0"/>
  </r>
  <r>
    <x v="648"/>
    <x v="1"/>
    <x v="0"/>
    <x v="3"/>
    <x v="4"/>
    <x v="0"/>
    <x v="4"/>
    <x v="1"/>
    <x v="1"/>
    <x v="1"/>
    <x v="2"/>
    <n v="58"/>
    <x v="1"/>
    <x v="1"/>
    <x v="0"/>
    <x v="1"/>
  </r>
  <r>
    <x v="649"/>
    <x v="1"/>
    <x v="0"/>
    <x v="3"/>
    <x v="3"/>
    <x v="0"/>
    <x v="2"/>
    <x v="1"/>
    <x v="1"/>
    <x v="1"/>
    <x v="2"/>
    <n v="38"/>
    <x v="0"/>
    <x v="1"/>
    <x v="0"/>
    <x v="1"/>
  </r>
  <r>
    <x v="650"/>
    <x v="1"/>
    <x v="0"/>
    <x v="3"/>
    <x v="2"/>
    <x v="4"/>
    <x v="4"/>
    <x v="0"/>
    <x v="2"/>
    <x v="4"/>
    <x v="2"/>
    <n v="67"/>
    <x v="1"/>
    <x v="1"/>
    <x v="0"/>
    <x v="1"/>
  </r>
  <r>
    <x v="651"/>
    <x v="1"/>
    <x v="1"/>
    <x v="10"/>
    <x v="3"/>
    <x v="1"/>
    <x v="2"/>
    <x v="1"/>
    <x v="2"/>
    <x v="3"/>
    <x v="2"/>
    <n v="32"/>
    <x v="0"/>
    <x v="1"/>
    <x v="0"/>
    <x v="1"/>
  </r>
  <r>
    <x v="652"/>
    <x v="0"/>
    <x v="1"/>
    <x v="3"/>
    <x v="2"/>
    <x v="1"/>
    <x v="2"/>
    <x v="1"/>
    <x v="4"/>
    <x v="2"/>
    <x v="2"/>
    <n v="45"/>
    <x v="0"/>
    <x v="0"/>
    <x v="0"/>
    <x v="0"/>
  </r>
  <r>
    <x v="653"/>
    <x v="1"/>
    <x v="1"/>
    <x v="1"/>
    <x v="3"/>
    <x v="2"/>
    <x v="0"/>
    <x v="1"/>
    <x v="2"/>
    <x v="3"/>
    <x v="2"/>
    <n v="31"/>
    <x v="0"/>
    <x v="1"/>
    <x v="0"/>
    <x v="1"/>
  </r>
  <r>
    <x v="654"/>
    <x v="1"/>
    <x v="1"/>
    <x v="0"/>
    <x v="3"/>
    <x v="2"/>
    <x v="0"/>
    <x v="1"/>
    <x v="2"/>
    <x v="3"/>
    <x v="2"/>
    <n v="31"/>
    <x v="0"/>
    <x v="1"/>
    <x v="0"/>
    <x v="1"/>
  </r>
  <r>
    <x v="655"/>
    <x v="0"/>
    <x v="0"/>
    <x v="0"/>
    <x v="1"/>
    <x v="1"/>
    <x v="1"/>
    <x v="0"/>
    <x v="1"/>
    <x v="0"/>
    <x v="2"/>
    <n v="31"/>
    <x v="0"/>
    <x v="0"/>
    <x v="0"/>
    <x v="0"/>
  </r>
  <r>
    <x v="656"/>
    <x v="0"/>
    <x v="1"/>
    <x v="10"/>
    <x v="4"/>
    <x v="2"/>
    <x v="2"/>
    <x v="1"/>
    <x v="2"/>
    <x v="2"/>
    <x v="2"/>
    <n v="50"/>
    <x v="0"/>
    <x v="0"/>
    <x v="0"/>
    <x v="0"/>
  </r>
  <r>
    <x v="657"/>
    <x v="0"/>
    <x v="1"/>
    <x v="3"/>
    <x v="0"/>
    <x v="1"/>
    <x v="0"/>
    <x v="0"/>
    <x v="1"/>
    <x v="0"/>
    <x v="2"/>
    <n v="44"/>
    <x v="0"/>
    <x v="0"/>
    <x v="0"/>
    <x v="0"/>
  </r>
  <r>
    <x v="658"/>
    <x v="1"/>
    <x v="1"/>
    <x v="14"/>
    <x v="4"/>
    <x v="0"/>
    <x v="0"/>
    <x v="0"/>
    <x v="1"/>
    <x v="1"/>
    <x v="2"/>
    <n v="38"/>
    <x v="0"/>
    <x v="1"/>
    <x v="0"/>
    <x v="1"/>
  </r>
  <r>
    <x v="659"/>
    <x v="1"/>
    <x v="0"/>
    <x v="10"/>
    <x v="5"/>
    <x v="0"/>
    <x v="4"/>
    <x v="0"/>
    <x v="2"/>
    <x v="4"/>
    <x v="2"/>
    <n v="63"/>
    <x v="1"/>
    <x v="0"/>
    <x v="0"/>
    <x v="0"/>
  </r>
  <r>
    <x v="660"/>
    <x v="0"/>
    <x v="0"/>
    <x v="10"/>
    <x v="0"/>
    <x v="4"/>
    <x v="2"/>
    <x v="0"/>
    <x v="0"/>
    <x v="1"/>
    <x v="2"/>
    <n v="36"/>
    <x v="0"/>
    <x v="1"/>
    <x v="0"/>
    <x v="1"/>
  </r>
  <r>
    <x v="661"/>
    <x v="1"/>
    <x v="1"/>
    <x v="0"/>
    <x v="3"/>
    <x v="2"/>
    <x v="0"/>
    <x v="1"/>
    <x v="2"/>
    <x v="0"/>
    <x v="2"/>
    <n v="28"/>
    <x v="2"/>
    <x v="1"/>
    <x v="0"/>
    <x v="1"/>
  </r>
  <r>
    <x v="662"/>
    <x v="1"/>
    <x v="0"/>
    <x v="11"/>
    <x v="0"/>
    <x v="1"/>
    <x v="2"/>
    <x v="1"/>
    <x v="4"/>
    <x v="3"/>
    <x v="2"/>
    <n v="44"/>
    <x v="0"/>
    <x v="0"/>
    <x v="1"/>
    <x v="0"/>
  </r>
  <r>
    <x v="663"/>
    <x v="0"/>
    <x v="0"/>
    <x v="3"/>
    <x v="2"/>
    <x v="4"/>
    <x v="2"/>
    <x v="0"/>
    <x v="1"/>
    <x v="0"/>
    <x v="2"/>
    <n v="47"/>
    <x v="0"/>
    <x v="0"/>
    <x v="0"/>
    <x v="0"/>
  </r>
  <r>
    <x v="664"/>
    <x v="0"/>
    <x v="0"/>
    <x v="2"/>
    <x v="3"/>
    <x v="4"/>
    <x v="0"/>
    <x v="0"/>
    <x v="0"/>
    <x v="3"/>
    <x v="2"/>
    <n v="40"/>
    <x v="0"/>
    <x v="1"/>
    <x v="1"/>
    <x v="1"/>
  </r>
  <r>
    <x v="665"/>
    <x v="0"/>
    <x v="1"/>
    <x v="12"/>
    <x v="0"/>
    <x v="4"/>
    <x v="4"/>
    <x v="0"/>
    <x v="3"/>
    <x v="0"/>
    <x v="2"/>
    <n v="40"/>
    <x v="0"/>
    <x v="0"/>
    <x v="2"/>
    <x v="0"/>
  </r>
  <r>
    <x v="666"/>
    <x v="0"/>
    <x v="0"/>
    <x v="10"/>
    <x v="0"/>
    <x v="1"/>
    <x v="0"/>
    <x v="0"/>
    <x v="1"/>
    <x v="1"/>
    <x v="2"/>
    <n v="46"/>
    <x v="0"/>
    <x v="1"/>
    <x v="0"/>
    <x v="1"/>
  </r>
  <r>
    <x v="667"/>
    <x v="0"/>
    <x v="0"/>
    <x v="0"/>
    <x v="2"/>
    <x v="2"/>
    <x v="2"/>
    <x v="1"/>
    <x v="2"/>
    <x v="4"/>
    <x v="2"/>
    <n v="61"/>
    <x v="1"/>
    <x v="0"/>
    <x v="0"/>
    <x v="0"/>
  </r>
  <r>
    <x v="668"/>
    <x v="0"/>
    <x v="0"/>
    <x v="10"/>
    <x v="3"/>
    <x v="4"/>
    <x v="2"/>
    <x v="0"/>
    <x v="0"/>
    <x v="0"/>
    <x v="2"/>
    <n v="40"/>
    <x v="0"/>
    <x v="0"/>
    <x v="0"/>
    <x v="0"/>
  </r>
  <r>
    <x v="669"/>
    <x v="0"/>
    <x v="0"/>
    <x v="10"/>
    <x v="4"/>
    <x v="2"/>
    <x v="2"/>
    <x v="0"/>
    <x v="2"/>
    <x v="2"/>
    <x v="2"/>
    <n v="50"/>
    <x v="0"/>
    <x v="0"/>
    <x v="0"/>
    <x v="0"/>
  </r>
  <r>
    <x v="670"/>
    <x v="0"/>
    <x v="1"/>
    <x v="3"/>
    <x v="4"/>
    <x v="1"/>
    <x v="2"/>
    <x v="0"/>
    <x v="1"/>
    <x v="4"/>
    <x v="2"/>
    <n v="59"/>
    <x v="1"/>
    <x v="0"/>
    <x v="0"/>
    <x v="0"/>
  </r>
  <r>
    <x v="671"/>
    <x v="1"/>
    <x v="0"/>
    <x v="10"/>
    <x v="0"/>
    <x v="4"/>
    <x v="2"/>
    <x v="0"/>
    <x v="0"/>
    <x v="1"/>
    <x v="2"/>
    <n v="36"/>
    <x v="0"/>
    <x v="1"/>
    <x v="0"/>
    <x v="1"/>
  </r>
  <r>
    <x v="672"/>
    <x v="1"/>
    <x v="0"/>
    <x v="0"/>
    <x v="3"/>
    <x v="2"/>
    <x v="0"/>
    <x v="0"/>
    <x v="2"/>
    <x v="2"/>
    <x v="2"/>
    <n v="30"/>
    <x v="2"/>
    <x v="0"/>
    <x v="0"/>
    <x v="0"/>
  </r>
  <r>
    <x v="673"/>
    <x v="1"/>
    <x v="0"/>
    <x v="3"/>
    <x v="5"/>
    <x v="4"/>
    <x v="2"/>
    <x v="0"/>
    <x v="0"/>
    <x v="1"/>
    <x v="2"/>
    <n v="35"/>
    <x v="0"/>
    <x v="1"/>
    <x v="0"/>
    <x v="1"/>
  </r>
  <r>
    <x v="674"/>
    <x v="0"/>
    <x v="0"/>
    <x v="1"/>
    <x v="4"/>
    <x v="2"/>
    <x v="0"/>
    <x v="0"/>
    <x v="2"/>
    <x v="3"/>
    <x v="2"/>
    <n v="48"/>
    <x v="0"/>
    <x v="0"/>
    <x v="0"/>
    <x v="0"/>
  </r>
  <r>
    <x v="675"/>
    <x v="0"/>
    <x v="1"/>
    <x v="11"/>
    <x v="1"/>
    <x v="0"/>
    <x v="4"/>
    <x v="0"/>
    <x v="3"/>
    <x v="0"/>
    <x v="2"/>
    <n v="41"/>
    <x v="0"/>
    <x v="0"/>
    <x v="1"/>
    <x v="0"/>
  </r>
  <r>
    <x v="676"/>
    <x v="0"/>
    <x v="1"/>
    <x v="0"/>
    <x v="4"/>
    <x v="1"/>
    <x v="1"/>
    <x v="0"/>
    <x v="1"/>
    <x v="0"/>
    <x v="2"/>
    <n v="47"/>
    <x v="0"/>
    <x v="0"/>
    <x v="0"/>
    <x v="0"/>
  </r>
  <r>
    <x v="677"/>
    <x v="0"/>
    <x v="1"/>
    <x v="10"/>
    <x v="5"/>
    <x v="4"/>
    <x v="0"/>
    <x v="1"/>
    <x v="0"/>
    <x v="0"/>
    <x v="2"/>
    <n v="47"/>
    <x v="0"/>
    <x v="0"/>
    <x v="0"/>
    <x v="0"/>
  </r>
  <r>
    <x v="678"/>
    <x v="0"/>
    <x v="1"/>
    <x v="2"/>
    <x v="2"/>
    <x v="0"/>
    <x v="4"/>
    <x v="1"/>
    <x v="2"/>
    <x v="1"/>
    <x v="0"/>
    <n v="62"/>
    <x v="1"/>
    <x v="0"/>
    <x v="1"/>
    <x v="0"/>
  </r>
  <r>
    <x v="679"/>
    <x v="0"/>
    <x v="1"/>
    <x v="10"/>
    <x v="5"/>
    <x v="0"/>
    <x v="4"/>
    <x v="0"/>
    <x v="2"/>
    <x v="4"/>
    <x v="2"/>
    <n v="60"/>
    <x v="1"/>
    <x v="0"/>
    <x v="0"/>
    <x v="0"/>
  </r>
  <r>
    <x v="680"/>
    <x v="0"/>
    <x v="0"/>
    <x v="10"/>
    <x v="3"/>
    <x v="1"/>
    <x v="0"/>
    <x v="1"/>
    <x v="1"/>
    <x v="3"/>
    <x v="2"/>
    <n v="33"/>
    <x v="0"/>
    <x v="0"/>
    <x v="0"/>
    <x v="0"/>
  </r>
  <r>
    <x v="681"/>
    <x v="1"/>
    <x v="0"/>
    <x v="2"/>
    <x v="5"/>
    <x v="4"/>
    <x v="0"/>
    <x v="1"/>
    <x v="0"/>
    <x v="0"/>
    <x v="2"/>
    <n v="47"/>
    <x v="0"/>
    <x v="0"/>
    <x v="1"/>
    <x v="0"/>
  </r>
  <r>
    <x v="682"/>
    <x v="0"/>
    <x v="1"/>
    <x v="6"/>
    <x v="1"/>
    <x v="3"/>
    <x v="1"/>
    <x v="1"/>
    <x v="2"/>
    <x v="0"/>
    <x v="2"/>
    <n v="52"/>
    <x v="1"/>
    <x v="0"/>
    <x v="0"/>
    <x v="0"/>
  </r>
  <r>
    <x v="683"/>
    <x v="0"/>
    <x v="0"/>
    <x v="8"/>
    <x v="2"/>
    <x v="1"/>
    <x v="2"/>
    <x v="0"/>
    <x v="4"/>
    <x v="1"/>
    <x v="2"/>
    <n v="40"/>
    <x v="0"/>
    <x v="0"/>
    <x v="1"/>
    <x v="0"/>
  </r>
  <r>
    <x v="684"/>
    <x v="1"/>
    <x v="0"/>
    <x v="10"/>
    <x v="5"/>
    <x v="0"/>
    <x v="0"/>
    <x v="1"/>
    <x v="2"/>
    <x v="0"/>
    <x v="2"/>
    <n v="42"/>
    <x v="0"/>
    <x v="0"/>
    <x v="0"/>
    <x v="0"/>
  </r>
  <r>
    <x v="685"/>
    <x v="1"/>
    <x v="0"/>
    <x v="10"/>
    <x v="1"/>
    <x v="4"/>
    <x v="4"/>
    <x v="0"/>
    <x v="2"/>
    <x v="2"/>
    <x v="2"/>
    <n v="53"/>
    <x v="1"/>
    <x v="1"/>
    <x v="0"/>
    <x v="1"/>
  </r>
  <r>
    <x v="686"/>
    <x v="0"/>
    <x v="0"/>
    <x v="0"/>
    <x v="0"/>
    <x v="1"/>
    <x v="1"/>
    <x v="0"/>
    <x v="1"/>
    <x v="3"/>
    <x v="2"/>
    <n v="51"/>
    <x v="1"/>
    <x v="1"/>
    <x v="0"/>
    <x v="1"/>
  </r>
  <r>
    <x v="687"/>
    <x v="1"/>
    <x v="1"/>
    <x v="1"/>
    <x v="3"/>
    <x v="1"/>
    <x v="0"/>
    <x v="0"/>
    <x v="2"/>
    <x v="2"/>
    <x v="2"/>
    <n v="30"/>
    <x v="2"/>
    <x v="0"/>
    <x v="0"/>
    <x v="0"/>
  </r>
  <r>
    <x v="688"/>
    <x v="1"/>
    <x v="1"/>
    <x v="10"/>
    <x v="3"/>
    <x v="0"/>
    <x v="0"/>
    <x v="1"/>
    <x v="2"/>
    <x v="0"/>
    <x v="2"/>
    <n v="30"/>
    <x v="2"/>
    <x v="0"/>
    <x v="0"/>
    <x v="0"/>
  </r>
  <r>
    <x v="689"/>
    <x v="0"/>
    <x v="1"/>
    <x v="1"/>
    <x v="3"/>
    <x v="2"/>
    <x v="0"/>
    <x v="0"/>
    <x v="2"/>
    <x v="2"/>
    <x v="2"/>
    <n v="26"/>
    <x v="2"/>
    <x v="0"/>
    <x v="0"/>
    <x v="0"/>
  </r>
  <r>
    <x v="690"/>
    <x v="1"/>
    <x v="0"/>
    <x v="12"/>
    <x v="0"/>
    <x v="0"/>
    <x v="4"/>
    <x v="1"/>
    <x v="1"/>
    <x v="1"/>
    <x v="2"/>
    <n v="45"/>
    <x v="0"/>
    <x v="0"/>
    <x v="2"/>
    <x v="0"/>
  </r>
  <r>
    <x v="691"/>
    <x v="0"/>
    <x v="1"/>
    <x v="14"/>
    <x v="0"/>
    <x v="0"/>
    <x v="0"/>
    <x v="0"/>
    <x v="0"/>
    <x v="0"/>
    <x v="2"/>
    <n v="34"/>
    <x v="0"/>
    <x v="1"/>
    <x v="0"/>
    <x v="1"/>
  </r>
  <r>
    <x v="692"/>
    <x v="0"/>
    <x v="1"/>
    <x v="3"/>
    <x v="0"/>
    <x v="0"/>
    <x v="2"/>
    <x v="0"/>
    <x v="1"/>
    <x v="1"/>
    <x v="2"/>
    <n v="44"/>
    <x v="0"/>
    <x v="1"/>
    <x v="0"/>
    <x v="1"/>
  </r>
  <r>
    <x v="693"/>
    <x v="1"/>
    <x v="0"/>
    <x v="10"/>
    <x v="5"/>
    <x v="0"/>
    <x v="0"/>
    <x v="1"/>
    <x v="2"/>
    <x v="0"/>
    <x v="2"/>
    <n v="41"/>
    <x v="0"/>
    <x v="1"/>
    <x v="0"/>
    <x v="1"/>
  </r>
  <r>
    <x v="694"/>
    <x v="1"/>
    <x v="0"/>
    <x v="2"/>
    <x v="1"/>
    <x v="4"/>
    <x v="2"/>
    <x v="1"/>
    <x v="0"/>
    <x v="0"/>
    <x v="2"/>
    <n v="36"/>
    <x v="0"/>
    <x v="1"/>
    <x v="1"/>
    <x v="1"/>
  </r>
  <r>
    <x v="695"/>
    <x v="0"/>
    <x v="1"/>
    <x v="2"/>
    <x v="2"/>
    <x v="1"/>
    <x v="2"/>
    <x v="0"/>
    <x v="2"/>
    <x v="0"/>
    <x v="2"/>
    <n v="44"/>
    <x v="0"/>
    <x v="0"/>
    <x v="1"/>
    <x v="0"/>
  </r>
  <r>
    <x v="696"/>
    <x v="1"/>
    <x v="1"/>
    <x v="10"/>
    <x v="3"/>
    <x v="1"/>
    <x v="2"/>
    <x v="1"/>
    <x v="2"/>
    <x v="3"/>
    <x v="2"/>
    <n v="30"/>
    <x v="2"/>
    <x v="0"/>
    <x v="0"/>
    <x v="0"/>
  </r>
  <r>
    <x v="697"/>
    <x v="0"/>
    <x v="0"/>
    <x v="1"/>
    <x v="3"/>
    <x v="3"/>
    <x v="1"/>
    <x v="1"/>
    <x v="2"/>
    <x v="0"/>
    <x v="2"/>
    <n v="28"/>
    <x v="2"/>
    <x v="0"/>
    <x v="0"/>
    <x v="0"/>
  </r>
  <r>
    <x v="698"/>
    <x v="0"/>
    <x v="1"/>
    <x v="6"/>
    <x v="4"/>
    <x v="3"/>
    <x v="1"/>
    <x v="0"/>
    <x v="2"/>
    <x v="3"/>
    <x v="2"/>
    <n v="49"/>
    <x v="0"/>
    <x v="0"/>
    <x v="0"/>
    <x v="0"/>
  </r>
  <r>
    <x v="699"/>
    <x v="1"/>
    <x v="1"/>
    <x v="8"/>
    <x v="3"/>
    <x v="1"/>
    <x v="2"/>
    <x v="1"/>
    <x v="2"/>
    <x v="0"/>
    <x v="2"/>
    <n v="43"/>
    <x v="0"/>
    <x v="1"/>
    <x v="1"/>
    <x v="1"/>
  </r>
  <r>
    <x v="700"/>
    <x v="0"/>
    <x v="0"/>
    <x v="3"/>
    <x v="5"/>
    <x v="0"/>
    <x v="4"/>
    <x v="0"/>
    <x v="1"/>
    <x v="3"/>
    <x v="2"/>
    <n v="59"/>
    <x v="1"/>
    <x v="0"/>
    <x v="0"/>
    <x v="0"/>
  </r>
  <r>
    <x v="701"/>
    <x v="1"/>
    <x v="1"/>
    <x v="1"/>
    <x v="3"/>
    <x v="2"/>
    <x v="0"/>
    <x v="0"/>
    <x v="2"/>
    <x v="2"/>
    <x v="2"/>
    <n v="26"/>
    <x v="2"/>
    <x v="0"/>
    <x v="0"/>
    <x v="0"/>
  </r>
  <r>
    <x v="702"/>
    <x v="0"/>
    <x v="1"/>
    <x v="7"/>
    <x v="0"/>
    <x v="2"/>
    <x v="2"/>
    <x v="0"/>
    <x v="3"/>
    <x v="2"/>
    <x v="2"/>
    <n v="46"/>
    <x v="0"/>
    <x v="1"/>
    <x v="1"/>
    <x v="1"/>
  </r>
  <r>
    <x v="703"/>
    <x v="1"/>
    <x v="0"/>
    <x v="14"/>
    <x v="3"/>
    <x v="4"/>
    <x v="0"/>
    <x v="0"/>
    <x v="0"/>
    <x v="3"/>
    <x v="2"/>
    <n v="33"/>
    <x v="0"/>
    <x v="0"/>
    <x v="0"/>
    <x v="0"/>
  </r>
  <r>
    <x v="704"/>
    <x v="1"/>
    <x v="0"/>
    <x v="0"/>
    <x v="3"/>
    <x v="0"/>
    <x v="2"/>
    <x v="0"/>
    <x v="1"/>
    <x v="1"/>
    <x v="2"/>
    <n v="42"/>
    <x v="0"/>
    <x v="1"/>
    <x v="0"/>
    <x v="1"/>
  </r>
  <r>
    <x v="705"/>
    <x v="0"/>
    <x v="0"/>
    <x v="3"/>
    <x v="5"/>
    <x v="0"/>
    <x v="4"/>
    <x v="0"/>
    <x v="1"/>
    <x v="4"/>
    <x v="2"/>
    <n v="59"/>
    <x v="1"/>
    <x v="0"/>
    <x v="0"/>
    <x v="0"/>
  </r>
  <r>
    <x v="706"/>
    <x v="1"/>
    <x v="0"/>
    <x v="10"/>
    <x v="3"/>
    <x v="1"/>
    <x v="0"/>
    <x v="1"/>
    <x v="1"/>
    <x v="3"/>
    <x v="2"/>
    <n v="33"/>
    <x v="0"/>
    <x v="1"/>
    <x v="0"/>
    <x v="1"/>
  </r>
  <r>
    <x v="707"/>
    <x v="0"/>
    <x v="0"/>
    <x v="3"/>
    <x v="0"/>
    <x v="1"/>
    <x v="0"/>
    <x v="0"/>
    <x v="1"/>
    <x v="0"/>
    <x v="2"/>
    <n v="44"/>
    <x v="0"/>
    <x v="1"/>
    <x v="0"/>
    <x v="1"/>
  </r>
  <r>
    <x v="708"/>
    <x v="0"/>
    <x v="1"/>
    <x v="3"/>
    <x v="2"/>
    <x v="0"/>
    <x v="4"/>
    <x v="0"/>
    <x v="3"/>
    <x v="4"/>
    <x v="2"/>
    <n v="60"/>
    <x v="1"/>
    <x v="0"/>
    <x v="0"/>
    <x v="0"/>
  </r>
  <r>
    <x v="709"/>
    <x v="1"/>
    <x v="0"/>
    <x v="3"/>
    <x v="4"/>
    <x v="0"/>
    <x v="4"/>
    <x v="0"/>
    <x v="1"/>
    <x v="4"/>
    <x v="2"/>
    <n v="59"/>
    <x v="1"/>
    <x v="0"/>
    <x v="0"/>
    <x v="0"/>
  </r>
  <r>
    <x v="710"/>
    <x v="0"/>
    <x v="1"/>
    <x v="10"/>
    <x v="3"/>
    <x v="2"/>
    <x v="2"/>
    <x v="0"/>
    <x v="2"/>
    <x v="2"/>
    <x v="2"/>
    <n v="32"/>
    <x v="0"/>
    <x v="1"/>
    <x v="0"/>
    <x v="1"/>
  </r>
  <r>
    <x v="711"/>
    <x v="0"/>
    <x v="0"/>
    <x v="3"/>
    <x v="4"/>
    <x v="1"/>
    <x v="2"/>
    <x v="0"/>
    <x v="1"/>
    <x v="4"/>
    <x v="2"/>
    <n v="58"/>
    <x v="1"/>
    <x v="0"/>
    <x v="0"/>
    <x v="0"/>
  </r>
  <r>
    <x v="712"/>
    <x v="0"/>
    <x v="0"/>
    <x v="0"/>
    <x v="4"/>
    <x v="2"/>
    <x v="2"/>
    <x v="1"/>
    <x v="2"/>
    <x v="1"/>
    <x v="2"/>
    <n v="59"/>
    <x v="1"/>
    <x v="0"/>
    <x v="0"/>
    <x v="0"/>
  </r>
  <r>
    <x v="713"/>
    <x v="1"/>
    <x v="0"/>
    <x v="3"/>
    <x v="4"/>
    <x v="0"/>
    <x v="0"/>
    <x v="0"/>
    <x v="1"/>
    <x v="1"/>
    <x v="2"/>
    <n v="38"/>
    <x v="0"/>
    <x v="0"/>
    <x v="0"/>
    <x v="0"/>
  </r>
  <r>
    <x v="714"/>
    <x v="0"/>
    <x v="1"/>
    <x v="0"/>
    <x v="3"/>
    <x v="2"/>
    <x v="0"/>
    <x v="0"/>
    <x v="2"/>
    <x v="2"/>
    <x v="2"/>
    <n v="28"/>
    <x v="2"/>
    <x v="1"/>
    <x v="0"/>
    <x v="1"/>
  </r>
  <r>
    <x v="715"/>
    <x v="0"/>
    <x v="0"/>
    <x v="10"/>
    <x v="0"/>
    <x v="4"/>
    <x v="2"/>
    <x v="0"/>
    <x v="0"/>
    <x v="1"/>
    <x v="2"/>
    <n v="37"/>
    <x v="0"/>
    <x v="1"/>
    <x v="0"/>
    <x v="1"/>
  </r>
  <r>
    <x v="716"/>
    <x v="1"/>
    <x v="0"/>
    <x v="2"/>
    <x v="3"/>
    <x v="4"/>
    <x v="0"/>
    <x v="1"/>
    <x v="0"/>
    <x v="0"/>
    <x v="2"/>
    <n v="40"/>
    <x v="0"/>
    <x v="0"/>
    <x v="1"/>
    <x v="0"/>
  </r>
  <r>
    <x v="717"/>
    <x v="1"/>
    <x v="1"/>
    <x v="8"/>
    <x v="5"/>
    <x v="0"/>
    <x v="4"/>
    <x v="0"/>
    <x v="1"/>
    <x v="3"/>
    <x v="2"/>
    <n v="38"/>
    <x v="0"/>
    <x v="1"/>
    <x v="1"/>
    <x v="1"/>
  </r>
  <r>
    <x v="718"/>
    <x v="0"/>
    <x v="1"/>
    <x v="3"/>
    <x v="5"/>
    <x v="4"/>
    <x v="2"/>
    <x v="0"/>
    <x v="0"/>
    <x v="1"/>
    <x v="2"/>
    <n v="36"/>
    <x v="0"/>
    <x v="1"/>
    <x v="0"/>
    <x v="1"/>
  </r>
  <r>
    <x v="719"/>
    <x v="0"/>
    <x v="0"/>
    <x v="3"/>
    <x v="2"/>
    <x v="4"/>
    <x v="2"/>
    <x v="0"/>
    <x v="2"/>
    <x v="0"/>
    <x v="2"/>
    <n v="37"/>
    <x v="0"/>
    <x v="0"/>
    <x v="0"/>
    <x v="0"/>
  </r>
  <r>
    <x v="720"/>
    <x v="1"/>
    <x v="0"/>
    <x v="0"/>
    <x v="2"/>
    <x v="2"/>
    <x v="2"/>
    <x v="1"/>
    <x v="4"/>
    <x v="1"/>
    <x v="2"/>
    <n v="60"/>
    <x v="1"/>
    <x v="1"/>
    <x v="0"/>
    <x v="1"/>
  </r>
  <r>
    <x v="721"/>
    <x v="1"/>
    <x v="1"/>
    <x v="15"/>
    <x v="5"/>
    <x v="0"/>
    <x v="4"/>
    <x v="0"/>
    <x v="3"/>
    <x v="2"/>
    <x v="2"/>
    <n v="42"/>
    <x v="0"/>
    <x v="1"/>
    <x v="1"/>
    <x v="1"/>
  </r>
  <r>
    <x v="722"/>
    <x v="1"/>
    <x v="0"/>
    <x v="3"/>
    <x v="1"/>
    <x v="4"/>
    <x v="4"/>
    <x v="1"/>
    <x v="2"/>
    <x v="3"/>
    <x v="2"/>
    <n v="53"/>
    <x v="1"/>
    <x v="0"/>
    <x v="0"/>
    <x v="0"/>
  </r>
  <r>
    <x v="723"/>
    <x v="1"/>
    <x v="0"/>
    <x v="2"/>
    <x v="4"/>
    <x v="3"/>
    <x v="0"/>
    <x v="0"/>
    <x v="2"/>
    <x v="2"/>
    <x v="2"/>
    <n v="49"/>
    <x v="0"/>
    <x v="0"/>
    <x v="1"/>
    <x v="0"/>
  </r>
  <r>
    <x v="724"/>
    <x v="0"/>
    <x v="1"/>
    <x v="1"/>
    <x v="4"/>
    <x v="2"/>
    <x v="0"/>
    <x v="0"/>
    <x v="2"/>
    <x v="3"/>
    <x v="2"/>
    <n v="49"/>
    <x v="0"/>
    <x v="0"/>
    <x v="0"/>
    <x v="0"/>
  </r>
  <r>
    <x v="725"/>
    <x v="0"/>
    <x v="1"/>
    <x v="12"/>
    <x v="4"/>
    <x v="4"/>
    <x v="4"/>
    <x v="0"/>
    <x v="4"/>
    <x v="0"/>
    <x v="2"/>
    <n v="42"/>
    <x v="0"/>
    <x v="1"/>
    <x v="2"/>
    <x v="1"/>
  </r>
  <r>
    <x v="726"/>
    <x v="0"/>
    <x v="1"/>
    <x v="6"/>
    <x v="4"/>
    <x v="2"/>
    <x v="3"/>
    <x v="1"/>
    <x v="2"/>
    <x v="0"/>
    <x v="2"/>
    <n v="53"/>
    <x v="1"/>
    <x v="0"/>
    <x v="0"/>
    <x v="0"/>
  </r>
  <r>
    <x v="727"/>
    <x v="0"/>
    <x v="1"/>
    <x v="3"/>
    <x v="0"/>
    <x v="4"/>
    <x v="2"/>
    <x v="0"/>
    <x v="1"/>
    <x v="0"/>
    <x v="2"/>
    <n v="46"/>
    <x v="0"/>
    <x v="1"/>
    <x v="0"/>
    <x v="1"/>
  </r>
  <r>
    <x v="728"/>
    <x v="0"/>
    <x v="1"/>
    <x v="0"/>
    <x v="3"/>
    <x v="2"/>
    <x v="0"/>
    <x v="0"/>
    <x v="2"/>
    <x v="2"/>
    <x v="2"/>
    <n v="27"/>
    <x v="2"/>
    <x v="0"/>
    <x v="0"/>
    <x v="0"/>
  </r>
  <r>
    <x v="729"/>
    <x v="0"/>
    <x v="0"/>
    <x v="10"/>
    <x v="1"/>
    <x v="0"/>
    <x v="2"/>
    <x v="0"/>
    <x v="1"/>
    <x v="0"/>
    <x v="2"/>
    <n v="48"/>
    <x v="0"/>
    <x v="1"/>
    <x v="0"/>
    <x v="1"/>
  </r>
  <r>
    <x v="730"/>
    <x v="1"/>
    <x v="0"/>
    <x v="10"/>
    <x v="5"/>
    <x v="0"/>
    <x v="0"/>
    <x v="0"/>
    <x v="2"/>
    <x v="1"/>
    <x v="2"/>
    <n v="41"/>
    <x v="0"/>
    <x v="1"/>
    <x v="0"/>
    <x v="1"/>
  </r>
  <r>
    <x v="731"/>
    <x v="0"/>
    <x v="1"/>
    <x v="10"/>
    <x v="4"/>
    <x v="2"/>
    <x v="2"/>
    <x v="1"/>
    <x v="2"/>
    <x v="3"/>
    <x v="2"/>
    <n v="49"/>
    <x v="0"/>
    <x v="1"/>
    <x v="0"/>
    <x v="1"/>
  </r>
  <r>
    <x v="732"/>
    <x v="1"/>
    <x v="0"/>
    <x v="10"/>
    <x v="3"/>
    <x v="4"/>
    <x v="2"/>
    <x v="0"/>
    <x v="1"/>
    <x v="1"/>
    <x v="2"/>
    <n v="38"/>
    <x v="0"/>
    <x v="1"/>
    <x v="0"/>
    <x v="1"/>
  </r>
  <r>
    <x v="733"/>
    <x v="1"/>
    <x v="1"/>
    <x v="12"/>
    <x v="0"/>
    <x v="0"/>
    <x v="4"/>
    <x v="1"/>
    <x v="3"/>
    <x v="0"/>
    <x v="2"/>
    <n v="44"/>
    <x v="0"/>
    <x v="0"/>
    <x v="2"/>
    <x v="0"/>
  </r>
  <r>
    <x v="734"/>
    <x v="1"/>
    <x v="0"/>
    <x v="12"/>
    <x v="0"/>
    <x v="0"/>
    <x v="4"/>
    <x v="1"/>
    <x v="4"/>
    <x v="0"/>
    <x v="2"/>
    <n v="45"/>
    <x v="0"/>
    <x v="1"/>
    <x v="2"/>
    <x v="1"/>
  </r>
  <r>
    <x v="735"/>
    <x v="1"/>
    <x v="0"/>
    <x v="1"/>
    <x v="3"/>
    <x v="1"/>
    <x v="0"/>
    <x v="0"/>
    <x v="1"/>
    <x v="2"/>
    <x v="2"/>
    <n v="26"/>
    <x v="2"/>
    <x v="0"/>
    <x v="0"/>
    <x v="0"/>
  </r>
  <r>
    <x v="736"/>
    <x v="0"/>
    <x v="1"/>
    <x v="0"/>
    <x v="3"/>
    <x v="2"/>
    <x v="0"/>
    <x v="0"/>
    <x v="1"/>
    <x v="2"/>
    <x v="2"/>
    <n v="31"/>
    <x v="0"/>
    <x v="0"/>
    <x v="0"/>
    <x v="0"/>
  </r>
  <r>
    <x v="737"/>
    <x v="0"/>
    <x v="1"/>
    <x v="3"/>
    <x v="4"/>
    <x v="3"/>
    <x v="0"/>
    <x v="1"/>
    <x v="2"/>
    <x v="3"/>
    <x v="2"/>
    <n v="49"/>
    <x v="0"/>
    <x v="0"/>
    <x v="0"/>
    <x v="0"/>
  </r>
  <r>
    <x v="738"/>
    <x v="1"/>
    <x v="0"/>
    <x v="0"/>
    <x v="4"/>
    <x v="1"/>
    <x v="1"/>
    <x v="1"/>
    <x v="1"/>
    <x v="3"/>
    <x v="2"/>
    <n v="47"/>
    <x v="0"/>
    <x v="1"/>
    <x v="0"/>
    <x v="1"/>
  </r>
  <r>
    <x v="739"/>
    <x v="0"/>
    <x v="0"/>
    <x v="10"/>
    <x v="4"/>
    <x v="1"/>
    <x v="2"/>
    <x v="0"/>
    <x v="1"/>
    <x v="4"/>
    <x v="2"/>
    <n v="55"/>
    <x v="1"/>
    <x v="0"/>
    <x v="0"/>
    <x v="0"/>
  </r>
  <r>
    <x v="740"/>
    <x v="0"/>
    <x v="1"/>
    <x v="0"/>
    <x v="5"/>
    <x v="1"/>
    <x v="1"/>
    <x v="1"/>
    <x v="0"/>
    <x v="0"/>
    <x v="2"/>
    <n v="30"/>
    <x v="2"/>
    <x v="0"/>
    <x v="0"/>
    <x v="0"/>
  </r>
  <r>
    <x v="741"/>
    <x v="0"/>
    <x v="0"/>
    <x v="0"/>
    <x v="0"/>
    <x v="1"/>
    <x v="1"/>
    <x v="0"/>
    <x v="1"/>
    <x v="3"/>
    <x v="2"/>
    <n v="48"/>
    <x v="0"/>
    <x v="1"/>
    <x v="0"/>
    <x v="1"/>
  </r>
  <r>
    <x v="742"/>
    <x v="1"/>
    <x v="1"/>
    <x v="1"/>
    <x v="3"/>
    <x v="2"/>
    <x v="0"/>
    <x v="0"/>
    <x v="2"/>
    <x v="2"/>
    <x v="2"/>
    <n v="30"/>
    <x v="2"/>
    <x v="0"/>
    <x v="0"/>
    <x v="0"/>
  </r>
  <r>
    <x v="743"/>
    <x v="0"/>
    <x v="1"/>
    <x v="15"/>
    <x v="0"/>
    <x v="0"/>
    <x v="4"/>
    <x v="0"/>
    <x v="4"/>
    <x v="2"/>
    <x v="2"/>
    <n v="45"/>
    <x v="0"/>
    <x v="0"/>
    <x v="1"/>
    <x v="0"/>
  </r>
  <r>
    <x v="744"/>
    <x v="0"/>
    <x v="0"/>
    <x v="3"/>
    <x v="5"/>
    <x v="1"/>
    <x v="2"/>
    <x v="0"/>
    <x v="1"/>
    <x v="4"/>
    <x v="2"/>
    <n v="56"/>
    <x v="1"/>
    <x v="0"/>
    <x v="0"/>
    <x v="0"/>
  </r>
  <r>
    <x v="745"/>
    <x v="0"/>
    <x v="1"/>
    <x v="10"/>
    <x v="5"/>
    <x v="4"/>
    <x v="0"/>
    <x v="0"/>
    <x v="0"/>
    <x v="3"/>
    <x v="2"/>
    <n v="47"/>
    <x v="0"/>
    <x v="1"/>
    <x v="0"/>
    <x v="1"/>
  </r>
  <r>
    <x v="746"/>
    <x v="0"/>
    <x v="0"/>
    <x v="10"/>
    <x v="4"/>
    <x v="0"/>
    <x v="4"/>
    <x v="0"/>
    <x v="0"/>
    <x v="4"/>
    <x v="2"/>
    <n v="56"/>
    <x v="1"/>
    <x v="0"/>
    <x v="0"/>
    <x v="0"/>
  </r>
  <r>
    <x v="747"/>
    <x v="1"/>
    <x v="0"/>
    <x v="3"/>
    <x v="0"/>
    <x v="0"/>
    <x v="2"/>
    <x v="1"/>
    <x v="1"/>
    <x v="0"/>
    <x v="2"/>
    <n v="44"/>
    <x v="0"/>
    <x v="0"/>
    <x v="0"/>
    <x v="0"/>
  </r>
  <r>
    <x v="748"/>
    <x v="0"/>
    <x v="1"/>
    <x v="12"/>
    <x v="4"/>
    <x v="4"/>
    <x v="4"/>
    <x v="0"/>
    <x v="4"/>
    <x v="1"/>
    <x v="2"/>
    <n v="69"/>
    <x v="1"/>
    <x v="0"/>
    <x v="2"/>
    <x v="0"/>
  </r>
  <r>
    <x v="749"/>
    <x v="0"/>
    <x v="0"/>
    <x v="3"/>
    <x v="4"/>
    <x v="1"/>
    <x v="2"/>
    <x v="0"/>
    <x v="1"/>
    <x v="1"/>
    <x v="2"/>
    <n v="59"/>
    <x v="1"/>
    <x v="0"/>
    <x v="0"/>
    <x v="0"/>
  </r>
  <r>
    <x v="750"/>
    <x v="0"/>
    <x v="1"/>
    <x v="1"/>
    <x v="4"/>
    <x v="2"/>
    <x v="0"/>
    <x v="0"/>
    <x v="2"/>
    <x v="3"/>
    <x v="2"/>
    <n v="50"/>
    <x v="0"/>
    <x v="0"/>
    <x v="0"/>
    <x v="0"/>
  </r>
  <r>
    <x v="751"/>
    <x v="0"/>
    <x v="1"/>
    <x v="10"/>
    <x v="0"/>
    <x v="4"/>
    <x v="2"/>
    <x v="0"/>
    <x v="0"/>
    <x v="1"/>
    <x v="2"/>
    <n v="36"/>
    <x v="0"/>
    <x v="0"/>
    <x v="0"/>
    <x v="0"/>
  </r>
  <r>
    <x v="752"/>
    <x v="0"/>
    <x v="1"/>
    <x v="10"/>
    <x v="3"/>
    <x v="1"/>
    <x v="2"/>
    <x v="0"/>
    <x v="2"/>
    <x v="2"/>
    <x v="2"/>
    <n v="32"/>
    <x v="0"/>
    <x v="0"/>
    <x v="0"/>
    <x v="0"/>
  </r>
  <r>
    <x v="753"/>
    <x v="1"/>
    <x v="0"/>
    <x v="0"/>
    <x v="3"/>
    <x v="1"/>
    <x v="0"/>
    <x v="1"/>
    <x v="1"/>
    <x v="3"/>
    <x v="2"/>
    <n v="27"/>
    <x v="2"/>
    <x v="0"/>
    <x v="0"/>
    <x v="0"/>
  </r>
  <r>
    <x v="754"/>
    <x v="0"/>
    <x v="0"/>
    <x v="0"/>
    <x v="5"/>
    <x v="2"/>
    <x v="2"/>
    <x v="0"/>
    <x v="2"/>
    <x v="2"/>
    <x v="2"/>
    <n v="59"/>
    <x v="1"/>
    <x v="1"/>
    <x v="0"/>
    <x v="1"/>
  </r>
  <r>
    <x v="755"/>
    <x v="0"/>
    <x v="1"/>
    <x v="10"/>
    <x v="1"/>
    <x v="2"/>
    <x v="2"/>
    <x v="1"/>
    <x v="2"/>
    <x v="1"/>
    <x v="2"/>
    <n v="53"/>
    <x v="1"/>
    <x v="0"/>
    <x v="0"/>
    <x v="0"/>
  </r>
  <r>
    <x v="756"/>
    <x v="0"/>
    <x v="1"/>
    <x v="0"/>
    <x v="0"/>
    <x v="0"/>
    <x v="0"/>
    <x v="1"/>
    <x v="1"/>
    <x v="0"/>
    <x v="2"/>
    <n v="36"/>
    <x v="0"/>
    <x v="1"/>
    <x v="0"/>
    <x v="1"/>
  </r>
  <r>
    <x v="757"/>
    <x v="1"/>
    <x v="1"/>
    <x v="1"/>
    <x v="0"/>
    <x v="2"/>
    <x v="1"/>
    <x v="0"/>
    <x v="2"/>
    <x v="3"/>
    <x v="2"/>
    <n v="51"/>
    <x v="1"/>
    <x v="1"/>
    <x v="0"/>
    <x v="1"/>
  </r>
  <r>
    <x v="758"/>
    <x v="1"/>
    <x v="0"/>
    <x v="2"/>
    <x v="2"/>
    <x v="4"/>
    <x v="0"/>
    <x v="1"/>
    <x v="0"/>
    <x v="0"/>
    <x v="2"/>
    <n v="47"/>
    <x v="0"/>
    <x v="0"/>
    <x v="1"/>
    <x v="0"/>
  </r>
  <r>
    <x v="759"/>
    <x v="1"/>
    <x v="0"/>
    <x v="10"/>
    <x v="1"/>
    <x v="4"/>
    <x v="2"/>
    <x v="0"/>
    <x v="0"/>
    <x v="1"/>
    <x v="2"/>
    <n v="43"/>
    <x v="0"/>
    <x v="1"/>
    <x v="0"/>
    <x v="1"/>
  </r>
  <r>
    <x v="760"/>
    <x v="1"/>
    <x v="1"/>
    <x v="6"/>
    <x v="1"/>
    <x v="3"/>
    <x v="1"/>
    <x v="1"/>
    <x v="2"/>
    <x v="0"/>
    <x v="2"/>
    <n v="50"/>
    <x v="0"/>
    <x v="0"/>
    <x v="0"/>
    <x v="0"/>
  </r>
  <r>
    <x v="761"/>
    <x v="0"/>
    <x v="0"/>
    <x v="10"/>
    <x v="2"/>
    <x v="0"/>
    <x v="4"/>
    <x v="0"/>
    <x v="4"/>
    <x v="4"/>
    <x v="2"/>
    <n v="59"/>
    <x v="1"/>
    <x v="0"/>
    <x v="0"/>
    <x v="0"/>
  </r>
  <r>
    <x v="762"/>
    <x v="1"/>
    <x v="1"/>
    <x v="14"/>
    <x v="4"/>
    <x v="0"/>
    <x v="0"/>
    <x v="0"/>
    <x v="0"/>
    <x v="1"/>
    <x v="2"/>
    <n v="37"/>
    <x v="0"/>
    <x v="1"/>
    <x v="0"/>
    <x v="1"/>
  </r>
  <r>
    <x v="763"/>
    <x v="0"/>
    <x v="1"/>
    <x v="14"/>
    <x v="0"/>
    <x v="4"/>
    <x v="0"/>
    <x v="0"/>
    <x v="0"/>
    <x v="0"/>
    <x v="2"/>
    <n v="33"/>
    <x v="0"/>
    <x v="1"/>
    <x v="0"/>
    <x v="1"/>
  </r>
  <r>
    <x v="764"/>
    <x v="0"/>
    <x v="0"/>
    <x v="10"/>
    <x v="3"/>
    <x v="1"/>
    <x v="0"/>
    <x v="1"/>
    <x v="1"/>
    <x v="3"/>
    <x v="2"/>
    <n v="27"/>
    <x v="2"/>
    <x v="0"/>
    <x v="0"/>
    <x v="0"/>
  </r>
  <r>
    <x v="765"/>
    <x v="1"/>
    <x v="0"/>
    <x v="3"/>
    <x v="3"/>
    <x v="1"/>
    <x v="0"/>
    <x v="0"/>
    <x v="2"/>
    <x v="2"/>
    <x v="2"/>
    <n v="34"/>
    <x v="0"/>
    <x v="1"/>
    <x v="0"/>
    <x v="1"/>
  </r>
  <r>
    <x v="766"/>
    <x v="0"/>
    <x v="1"/>
    <x v="14"/>
    <x v="5"/>
    <x v="0"/>
    <x v="0"/>
    <x v="0"/>
    <x v="4"/>
    <x v="4"/>
    <x v="2"/>
    <n v="42"/>
    <x v="0"/>
    <x v="0"/>
    <x v="0"/>
    <x v="0"/>
  </r>
  <r>
    <x v="767"/>
    <x v="0"/>
    <x v="0"/>
    <x v="10"/>
    <x v="4"/>
    <x v="1"/>
    <x v="2"/>
    <x v="0"/>
    <x v="2"/>
    <x v="1"/>
    <x v="2"/>
    <n v="57"/>
    <x v="1"/>
    <x v="1"/>
    <x v="0"/>
    <x v="1"/>
  </r>
  <r>
    <x v="768"/>
    <x v="0"/>
    <x v="0"/>
    <x v="7"/>
    <x v="0"/>
    <x v="2"/>
    <x v="2"/>
    <x v="1"/>
    <x v="3"/>
    <x v="1"/>
    <x v="2"/>
    <n v="45"/>
    <x v="0"/>
    <x v="0"/>
    <x v="1"/>
    <x v="0"/>
  </r>
  <r>
    <x v="769"/>
    <x v="0"/>
    <x v="0"/>
    <x v="11"/>
    <x v="5"/>
    <x v="0"/>
    <x v="4"/>
    <x v="0"/>
    <x v="3"/>
    <x v="0"/>
    <x v="2"/>
    <n v="40"/>
    <x v="0"/>
    <x v="0"/>
    <x v="1"/>
    <x v="0"/>
  </r>
  <r>
    <x v="770"/>
    <x v="0"/>
    <x v="1"/>
    <x v="10"/>
    <x v="0"/>
    <x v="4"/>
    <x v="0"/>
    <x v="1"/>
    <x v="0"/>
    <x v="0"/>
    <x v="2"/>
    <n v="55"/>
    <x v="1"/>
    <x v="0"/>
    <x v="0"/>
    <x v="0"/>
  </r>
  <r>
    <x v="771"/>
    <x v="0"/>
    <x v="1"/>
    <x v="2"/>
    <x v="0"/>
    <x v="1"/>
    <x v="0"/>
    <x v="1"/>
    <x v="1"/>
    <x v="0"/>
    <x v="2"/>
    <n v="47"/>
    <x v="0"/>
    <x v="1"/>
    <x v="1"/>
    <x v="1"/>
  </r>
  <r>
    <x v="772"/>
    <x v="1"/>
    <x v="1"/>
    <x v="10"/>
    <x v="5"/>
    <x v="4"/>
    <x v="0"/>
    <x v="0"/>
    <x v="0"/>
    <x v="3"/>
    <x v="2"/>
    <n v="47"/>
    <x v="0"/>
    <x v="1"/>
    <x v="0"/>
    <x v="1"/>
  </r>
  <r>
    <x v="773"/>
    <x v="0"/>
    <x v="0"/>
    <x v="10"/>
    <x v="0"/>
    <x v="4"/>
    <x v="0"/>
    <x v="0"/>
    <x v="0"/>
    <x v="0"/>
    <x v="2"/>
    <n v="34"/>
    <x v="0"/>
    <x v="0"/>
    <x v="0"/>
    <x v="0"/>
  </r>
  <r>
    <x v="774"/>
    <x v="0"/>
    <x v="0"/>
    <x v="2"/>
    <x v="1"/>
    <x v="4"/>
    <x v="2"/>
    <x v="0"/>
    <x v="0"/>
    <x v="0"/>
    <x v="2"/>
    <n v="36"/>
    <x v="0"/>
    <x v="1"/>
    <x v="1"/>
    <x v="1"/>
  </r>
  <r>
    <x v="775"/>
    <x v="0"/>
    <x v="1"/>
    <x v="3"/>
    <x v="4"/>
    <x v="3"/>
    <x v="0"/>
    <x v="0"/>
    <x v="2"/>
    <x v="4"/>
    <x v="2"/>
    <n v="54"/>
    <x v="1"/>
    <x v="0"/>
    <x v="0"/>
    <x v="0"/>
  </r>
  <r>
    <x v="776"/>
    <x v="1"/>
    <x v="1"/>
    <x v="3"/>
    <x v="4"/>
    <x v="0"/>
    <x v="4"/>
    <x v="1"/>
    <x v="1"/>
    <x v="1"/>
    <x v="2"/>
    <n v="59"/>
    <x v="1"/>
    <x v="1"/>
    <x v="0"/>
    <x v="1"/>
  </r>
  <r>
    <x v="777"/>
    <x v="1"/>
    <x v="1"/>
    <x v="0"/>
    <x v="3"/>
    <x v="2"/>
    <x v="0"/>
    <x v="0"/>
    <x v="2"/>
    <x v="2"/>
    <x v="2"/>
    <n v="27"/>
    <x v="2"/>
    <x v="0"/>
    <x v="0"/>
    <x v="0"/>
  </r>
  <r>
    <x v="778"/>
    <x v="0"/>
    <x v="1"/>
    <x v="8"/>
    <x v="2"/>
    <x v="1"/>
    <x v="2"/>
    <x v="0"/>
    <x v="4"/>
    <x v="0"/>
    <x v="2"/>
    <n v="41"/>
    <x v="0"/>
    <x v="0"/>
    <x v="1"/>
    <x v="0"/>
  </r>
  <r>
    <x v="779"/>
    <x v="0"/>
    <x v="1"/>
    <x v="2"/>
    <x v="1"/>
    <x v="1"/>
    <x v="2"/>
    <x v="1"/>
    <x v="2"/>
    <x v="1"/>
    <x v="2"/>
    <n v="50"/>
    <x v="0"/>
    <x v="1"/>
    <x v="1"/>
    <x v="1"/>
  </r>
  <r>
    <x v="780"/>
    <x v="0"/>
    <x v="0"/>
    <x v="10"/>
    <x v="4"/>
    <x v="1"/>
    <x v="2"/>
    <x v="0"/>
    <x v="1"/>
    <x v="4"/>
    <x v="2"/>
    <n v="55"/>
    <x v="1"/>
    <x v="0"/>
    <x v="0"/>
    <x v="0"/>
  </r>
  <r>
    <x v="781"/>
    <x v="0"/>
    <x v="1"/>
    <x v="2"/>
    <x v="5"/>
    <x v="0"/>
    <x v="4"/>
    <x v="0"/>
    <x v="0"/>
    <x v="0"/>
    <x v="2"/>
    <n v="43"/>
    <x v="0"/>
    <x v="0"/>
    <x v="1"/>
    <x v="0"/>
  </r>
  <r>
    <x v="782"/>
    <x v="1"/>
    <x v="1"/>
    <x v="3"/>
    <x v="5"/>
    <x v="0"/>
    <x v="2"/>
    <x v="0"/>
    <x v="2"/>
    <x v="1"/>
    <x v="2"/>
    <n v="43"/>
    <x v="0"/>
    <x v="1"/>
    <x v="0"/>
    <x v="1"/>
  </r>
  <r>
    <x v="783"/>
    <x v="0"/>
    <x v="1"/>
    <x v="10"/>
    <x v="5"/>
    <x v="0"/>
    <x v="0"/>
    <x v="0"/>
    <x v="4"/>
    <x v="2"/>
    <x v="2"/>
    <n v="42"/>
    <x v="0"/>
    <x v="0"/>
    <x v="0"/>
    <x v="0"/>
  </r>
  <r>
    <x v="784"/>
    <x v="1"/>
    <x v="0"/>
    <x v="4"/>
    <x v="4"/>
    <x v="2"/>
    <x v="3"/>
    <x v="0"/>
    <x v="2"/>
    <x v="3"/>
    <x v="2"/>
    <n v="53"/>
    <x v="1"/>
    <x v="1"/>
    <x v="0"/>
    <x v="1"/>
  </r>
  <r>
    <x v="785"/>
    <x v="1"/>
    <x v="0"/>
    <x v="0"/>
    <x v="3"/>
    <x v="2"/>
    <x v="0"/>
    <x v="1"/>
    <x v="2"/>
    <x v="0"/>
    <x v="2"/>
    <n v="28"/>
    <x v="2"/>
    <x v="1"/>
    <x v="0"/>
    <x v="1"/>
  </r>
  <r>
    <x v="786"/>
    <x v="0"/>
    <x v="0"/>
    <x v="14"/>
    <x v="0"/>
    <x v="0"/>
    <x v="0"/>
    <x v="0"/>
    <x v="1"/>
    <x v="0"/>
    <x v="2"/>
    <n v="35"/>
    <x v="0"/>
    <x v="0"/>
    <x v="0"/>
    <x v="0"/>
  </r>
  <r>
    <x v="787"/>
    <x v="1"/>
    <x v="0"/>
    <x v="3"/>
    <x v="4"/>
    <x v="0"/>
    <x v="4"/>
    <x v="1"/>
    <x v="1"/>
    <x v="1"/>
    <x v="2"/>
    <n v="59"/>
    <x v="1"/>
    <x v="1"/>
    <x v="0"/>
    <x v="1"/>
  </r>
  <r>
    <x v="788"/>
    <x v="1"/>
    <x v="0"/>
    <x v="6"/>
    <x v="4"/>
    <x v="3"/>
    <x v="1"/>
    <x v="0"/>
    <x v="2"/>
    <x v="3"/>
    <x v="2"/>
    <n v="49"/>
    <x v="0"/>
    <x v="0"/>
    <x v="0"/>
    <x v="0"/>
  </r>
  <r>
    <x v="789"/>
    <x v="0"/>
    <x v="1"/>
    <x v="10"/>
    <x v="4"/>
    <x v="2"/>
    <x v="2"/>
    <x v="1"/>
    <x v="2"/>
    <x v="3"/>
    <x v="2"/>
    <n v="48"/>
    <x v="0"/>
    <x v="1"/>
    <x v="0"/>
    <x v="1"/>
  </r>
  <r>
    <x v="790"/>
    <x v="1"/>
    <x v="0"/>
    <x v="2"/>
    <x v="4"/>
    <x v="3"/>
    <x v="0"/>
    <x v="1"/>
    <x v="2"/>
    <x v="3"/>
    <x v="2"/>
    <n v="50"/>
    <x v="0"/>
    <x v="0"/>
    <x v="1"/>
    <x v="0"/>
  </r>
  <r>
    <x v="791"/>
    <x v="0"/>
    <x v="1"/>
    <x v="0"/>
    <x v="3"/>
    <x v="2"/>
    <x v="0"/>
    <x v="0"/>
    <x v="2"/>
    <x v="2"/>
    <x v="2"/>
    <n v="28"/>
    <x v="2"/>
    <x v="1"/>
    <x v="0"/>
    <x v="1"/>
  </r>
  <r>
    <x v="792"/>
    <x v="1"/>
    <x v="1"/>
    <x v="1"/>
    <x v="0"/>
    <x v="2"/>
    <x v="1"/>
    <x v="1"/>
    <x v="1"/>
    <x v="2"/>
    <x v="2"/>
    <n v="52"/>
    <x v="1"/>
    <x v="0"/>
    <x v="0"/>
    <x v="0"/>
  </r>
  <r>
    <x v="793"/>
    <x v="0"/>
    <x v="1"/>
    <x v="1"/>
    <x v="0"/>
    <x v="2"/>
    <x v="1"/>
    <x v="0"/>
    <x v="1"/>
    <x v="1"/>
    <x v="2"/>
    <n v="52"/>
    <x v="1"/>
    <x v="1"/>
    <x v="0"/>
    <x v="1"/>
  </r>
  <r>
    <x v="794"/>
    <x v="0"/>
    <x v="1"/>
    <x v="14"/>
    <x v="4"/>
    <x v="4"/>
    <x v="4"/>
    <x v="0"/>
    <x v="2"/>
    <x v="2"/>
    <x v="2"/>
    <n v="69"/>
    <x v="1"/>
    <x v="0"/>
    <x v="0"/>
    <x v="0"/>
  </r>
  <r>
    <x v="795"/>
    <x v="1"/>
    <x v="1"/>
    <x v="10"/>
    <x v="4"/>
    <x v="2"/>
    <x v="2"/>
    <x v="0"/>
    <x v="2"/>
    <x v="2"/>
    <x v="2"/>
    <n v="51"/>
    <x v="1"/>
    <x v="0"/>
    <x v="0"/>
    <x v="0"/>
  </r>
  <r>
    <x v="796"/>
    <x v="0"/>
    <x v="1"/>
    <x v="3"/>
    <x v="2"/>
    <x v="1"/>
    <x v="2"/>
    <x v="0"/>
    <x v="2"/>
    <x v="3"/>
    <x v="2"/>
    <n v="57"/>
    <x v="1"/>
    <x v="1"/>
    <x v="0"/>
    <x v="1"/>
  </r>
  <r>
    <x v="797"/>
    <x v="1"/>
    <x v="1"/>
    <x v="10"/>
    <x v="3"/>
    <x v="1"/>
    <x v="0"/>
    <x v="0"/>
    <x v="1"/>
    <x v="2"/>
    <x v="2"/>
    <n v="27"/>
    <x v="2"/>
    <x v="1"/>
    <x v="0"/>
    <x v="1"/>
  </r>
  <r>
    <x v="798"/>
    <x v="1"/>
    <x v="0"/>
    <x v="1"/>
    <x v="3"/>
    <x v="2"/>
    <x v="0"/>
    <x v="1"/>
    <x v="2"/>
    <x v="0"/>
    <x v="2"/>
    <n v="25"/>
    <x v="2"/>
    <x v="1"/>
    <x v="0"/>
    <x v="1"/>
  </r>
  <r>
    <x v="799"/>
    <x v="1"/>
    <x v="0"/>
    <x v="14"/>
    <x v="0"/>
    <x v="4"/>
    <x v="0"/>
    <x v="0"/>
    <x v="0"/>
    <x v="3"/>
    <x v="2"/>
    <n v="33"/>
    <x v="0"/>
    <x v="1"/>
    <x v="0"/>
    <x v="1"/>
  </r>
  <r>
    <x v="800"/>
    <x v="1"/>
    <x v="1"/>
    <x v="10"/>
    <x v="5"/>
    <x v="0"/>
    <x v="2"/>
    <x v="0"/>
    <x v="2"/>
    <x v="1"/>
    <x v="2"/>
    <n v="43"/>
    <x v="0"/>
    <x v="1"/>
    <x v="0"/>
    <x v="1"/>
  </r>
  <r>
    <x v="801"/>
    <x v="0"/>
    <x v="1"/>
    <x v="3"/>
    <x v="5"/>
    <x v="4"/>
    <x v="4"/>
    <x v="0"/>
    <x v="2"/>
    <x v="2"/>
    <x v="2"/>
    <n v="73"/>
    <x v="1"/>
    <x v="0"/>
    <x v="0"/>
    <x v="0"/>
  </r>
  <r>
    <x v="802"/>
    <x v="0"/>
    <x v="1"/>
    <x v="0"/>
    <x v="3"/>
    <x v="1"/>
    <x v="0"/>
    <x v="0"/>
    <x v="1"/>
    <x v="2"/>
    <x v="2"/>
    <n v="27"/>
    <x v="2"/>
    <x v="0"/>
    <x v="0"/>
    <x v="0"/>
  </r>
  <r>
    <x v="803"/>
    <x v="0"/>
    <x v="1"/>
    <x v="0"/>
    <x v="3"/>
    <x v="2"/>
    <x v="0"/>
    <x v="0"/>
    <x v="2"/>
    <x v="2"/>
    <x v="2"/>
    <n v="28"/>
    <x v="2"/>
    <x v="1"/>
    <x v="0"/>
    <x v="1"/>
  </r>
  <r>
    <x v="804"/>
    <x v="0"/>
    <x v="1"/>
    <x v="0"/>
    <x v="3"/>
    <x v="2"/>
    <x v="0"/>
    <x v="1"/>
    <x v="2"/>
    <x v="0"/>
    <x v="2"/>
    <n v="27"/>
    <x v="2"/>
    <x v="1"/>
    <x v="0"/>
    <x v="1"/>
  </r>
  <r>
    <x v="805"/>
    <x v="1"/>
    <x v="0"/>
    <x v="0"/>
    <x v="3"/>
    <x v="2"/>
    <x v="0"/>
    <x v="0"/>
    <x v="2"/>
    <x v="2"/>
    <x v="2"/>
    <n v="31"/>
    <x v="0"/>
    <x v="0"/>
    <x v="0"/>
    <x v="0"/>
  </r>
  <r>
    <x v="806"/>
    <x v="0"/>
    <x v="0"/>
    <x v="4"/>
    <x v="4"/>
    <x v="2"/>
    <x v="3"/>
    <x v="0"/>
    <x v="2"/>
    <x v="3"/>
    <x v="2"/>
    <n v="53"/>
    <x v="1"/>
    <x v="0"/>
    <x v="0"/>
    <x v="0"/>
  </r>
  <r>
    <x v="807"/>
    <x v="1"/>
    <x v="0"/>
    <x v="10"/>
    <x v="3"/>
    <x v="1"/>
    <x v="2"/>
    <x v="1"/>
    <x v="2"/>
    <x v="3"/>
    <x v="2"/>
    <n v="32"/>
    <x v="0"/>
    <x v="1"/>
    <x v="0"/>
    <x v="1"/>
  </r>
  <r>
    <x v="808"/>
    <x v="1"/>
    <x v="1"/>
    <x v="1"/>
    <x v="4"/>
    <x v="2"/>
    <x v="0"/>
    <x v="0"/>
    <x v="2"/>
    <x v="3"/>
    <x v="2"/>
    <n v="50"/>
    <x v="0"/>
    <x v="1"/>
    <x v="0"/>
    <x v="1"/>
  </r>
  <r>
    <x v="809"/>
    <x v="0"/>
    <x v="0"/>
    <x v="0"/>
    <x v="5"/>
    <x v="2"/>
    <x v="2"/>
    <x v="0"/>
    <x v="2"/>
    <x v="2"/>
    <x v="2"/>
    <n v="69"/>
    <x v="1"/>
    <x v="0"/>
    <x v="0"/>
    <x v="0"/>
  </r>
  <r>
    <x v="810"/>
    <x v="1"/>
    <x v="0"/>
    <x v="3"/>
    <x v="1"/>
    <x v="4"/>
    <x v="4"/>
    <x v="0"/>
    <x v="2"/>
    <x v="2"/>
    <x v="2"/>
    <n v="52"/>
    <x v="1"/>
    <x v="1"/>
    <x v="0"/>
    <x v="1"/>
  </r>
  <r>
    <x v="811"/>
    <x v="0"/>
    <x v="1"/>
    <x v="10"/>
    <x v="3"/>
    <x v="1"/>
    <x v="0"/>
    <x v="1"/>
    <x v="2"/>
    <x v="3"/>
    <x v="2"/>
    <n v="31"/>
    <x v="0"/>
    <x v="0"/>
    <x v="0"/>
    <x v="0"/>
  </r>
  <r>
    <x v="812"/>
    <x v="1"/>
    <x v="0"/>
    <x v="3"/>
    <x v="5"/>
    <x v="0"/>
    <x v="4"/>
    <x v="0"/>
    <x v="2"/>
    <x v="4"/>
    <x v="2"/>
    <n v="61"/>
    <x v="1"/>
    <x v="0"/>
    <x v="0"/>
    <x v="0"/>
  </r>
  <r>
    <x v="813"/>
    <x v="0"/>
    <x v="0"/>
    <x v="3"/>
    <x v="4"/>
    <x v="2"/>
    <x v="2"/>
    <x v="0"/>
    <x v="2"/>
    <x v="4"/>
    <x v="2"/>
    <n v="53"/>
    <x v="1"/>
    <x v="0"/>
    <x v="0"/>
    <x v="0"/>
  </r>
  <r>
    <x v="814"/>
    <x v="1"/>
    <x v="0"/>
    <x v="3"/>
    <x v="5"/>
    <x v="0"/>
    <x v="4"/>
    <x v="0"/>
    <x v="2"/>
    <x v="3"/>
    <x v="2"/>
    <n v="62"/>
    <x v="1"/>
    <x v="1"/>
    <x v="0"/>
    <x v="1"/>
  </r>
  <r>
    <x v="815"/>
    <x v="0"/>
    <x v="1"/>
    <x v="0"/>
    <x v="3"/>
    <x v="1"/>
    <x v="0"/>
    <x v="1"/>
    <x v="2"/>
    <x v="3"/>
    <x v="2"/>
    <n v="30"/>
    <x v="2"/>
    <x v="0"/>
    <x v="0"/>
    <x v="0"/>
  </r>
  <r>
    <x v="816"/>
    <x v="0"/>
    <x v="0"/>
    <x v="10"/>
    <x v="1"/>
    <x v="4"/>
    <x v="2"/>
    <x v="0"/>
    <x v="0"/>
    <x v="1"/>
    <x v="2"/>
    <n v="43"/>
    <x v="0"/>
    <x v="1"/>
    <x v="0"/>
    <x v="1"/>
  </r>
  <r>
    <x v="817"/>
    <x v="0"/>
    <x v="0"/>
    <x v="10"/>
    <x v="1"/>
    <x v="4"/>
    <x v="2"/>
    <x v="0"/>
    <x v="0"/>
    <x v="1"/>
    <x v="2"/>
    <n v="42"/>
    <x v="0"/>
    <x v="1"/>
    <x v="0"/>
    <x v="1"/>
  </r>
  <r>
    <x v="818"/>
    <x v="0"/>
    <x v="1"/>
    <x v="0"/>
    <x v="3"/>
    <x v="1"/>
    <x v="0"/>
    <x v="0"/>
    <x v="1"/>
    <x v="2"/>
    <x v="2"/>
    <n v="30"/>
    <x v="2"/>
    <x v="0"/>
    <x v="0"/>
    <x v="0"/>
  </r>
  <r>
    <x v="819"/>
    <x v="1"/>
    <x v="0"/>
    <x v="0"/>
    <x v="3"/>
    <x v="2"/>
    <x v="0"/>
    <x v="0"/>
    <x v="2"/>
    <x v="2"/>
    <x v="2"/>
    <n v="30"/>
    <x v="2"/>
    <x v="0"/>
    <x v="0"/>
    <x v="0"/>
  </r>
  <r>
    <x v="820"/>
    <x v="1"/>
    <x v="1"/>
    <x v="15"/>
    <x v="0"/>
    <x v="0"/>
    <x v="4"/>
    <x v="0"/>
    <x v="1"/>
    <x v="2"/>
    <x v="2"/>
    <n v="43"/>
    <x v="0"/>
    <x v="0"/>
    <x v="1"/>
    <x v="0"/>
  </r>
  <r>
    <x v="821"/>
    <x v="0"/>
    <x v="1"/>
    <x v="10"/>
    <x v="3"/>
    <x v="1"/>
    <x v="0"/>
    <x v="0"/>
    <x v="2"/>
    <x v="2"/>
    <x v="2"/>
    <n v="33"/>
    <x v="0"/>
    <x v="1"/>
    <x v="0"/>
    <x v="1"/>
  </r>
  <r>
    <x v="822"/>
    <x v="0"/>
    <x v="1"/>
    <x v="1"/>
    <x v="3"/>
    <x v="2"/>
    <x v="0"/>
    <x v="0"/>
    <x v="2"/>
    <x v="2"/>
    <x v="2"/>
    <n v="32"/>
    <x v="0"/>
    <x v="0"/>
    <x v="0"/>
    <x v="0"/>
  </r>
  <r>
    <x v="823"/>
    <x v="1"/>
    <x v="0"/>
    <x v="3"/>
    <x v="5"/>
    <x v="2"/>
    <x v="2"/>
    <x v="0"/>
    <x v="0"/>
    <x v="2"/>
    <x v="2"/>
    <n v="50"/>
    <x v="0"/>
    <x v="1"/>
    <x v="0"/>
    <x v="1"/>
  </r>
  <r>
    <x v="824"/>
    <x v="1"/>
    <x v="1"/>
    <x v="15"/>
    <x v="4"/>
    <x v="0"/>
    <x v="4"/>
    <x v="1"/>
    <x v="4"/>
    <x v="0"/>
    <x v="2"/>
    <n v="37"/>
    <x v="0"/>
    <x v="1"/>
    <x v="1"/>
    <x v="1"/>
  </r>
  <r>
    <x v="825"/>
    <x v="0"/>
    <x v="1"/>
    <x v="3"/>
    <x v="1"/>
    <x v="2"/>
    <x v="2"/>
    <x v="1"/>
    <x v="1"/>
    <x v="3"/>
    <x v="2"/>
    <n v="52"/>
    <x v="1"/>
    <x v="1"/>
    <x v="0"/>
    <x v="1"/>
  </r>
  <r>
    <x v="826"/>
    <x v="0"/>
    <x v="1"/>
    <x v="3"/>
    <x v="5"/>
    <x v="4"/>
    <x v="2"/>
    <x v="0"/>
    <x v="0"/>
    <x v="1"/>
    <x v="2"/>
    <n v="36"/>
    <x v="0"/>
    <x v="1"/>
    <x v="0"/>
    <x v="1"/>
  </r>
  <r>
    <x v="827"/>
    <x v="1"/>
    <x v="0"/>
    <x v="2"/>
    <x v="1"/>
    <x v="0"/>
    <x v="0"/>
    <x v="0"/>
    <x v="2"/>
    <x v="1"/>
    <x v="2"/>
    <n v="41"/>
    <x v="0"/>
    <x v="1"/>
    <x v="1"/>
    <x v="1"/>
  </r>
  <r>
    <x v="828"/>
    <x v="1"/>
    <x v="0"/>
    <x v="0"/>
    <x v="3"/>
    <x v="3"/>
    <x v="1"/>
    <x v="0"/>
    <x v="2"/>
    <x v="2"/>
    <x v="2"/>
    <n v="26"/>
    <x v="2"/>
    <x v="0"/>
    <x v="0"/>
    <x v="0"/>
  </r>
  <r>
    <x v="829"/>
    <x v="1"/>
    <x v="1"/>
    <x v="9"/>
    <x v="0"/>
    <x v="4"/>
    <x v="4"/>
    <x v="1"/>
    <x v="3"/>
    <x v="0"/>
    <x v="2"/>
    <n v="66"/>
    <x v="1"/>
    <x v="0"/>
    <x v="2"/>
    <x v="0"/>
  </r>
  <r>
    <x v="830"/>
    <x v="0"/>
    <x v="1"/>
    <x v="10"/>
    <x v="4"/>
    <x v="2"/>
    <x v="2"/>
    <x v="1"/>
    <x v="2"/>
    <x v="2"/>
    <x v="2"/>
    <n v="51"/>
    <x v="1"/>
    <x v="0"/>
    <x v="0"/>
    <x v="0"/>
  </r>
  <r>
    <x v="831"/>
    <x v="0"/>
    <x v="0"/>
    <x v="3"/>
    <x v="5"/>
    <x v="0"/>
    <x v="2"/>
    <x v="0"/>
    <x v="2"/>
    <x v="0"/>
    <x v="2"/>
    <n v="43"/>
    <x v="0"/>
    <x v="1"/>
    <x v="0"/>
    <x v="1"/>
  </r>
  <r>
    <x v="832"/>
    <x v="0"/>
    <x v="0"/>
    <x v="10"/>
    <x v="3"/>
    <x v="4"/>
    <x v="2"/>
    <x v="0"/>
    <x v="0"/>
    <x v="0"/>
    <x v="2"/>
    <n v="39"/>
    <x v="0"/>
    <x v="0"/>
    <x v="0"/>
    <x v="0"/>
  </r>
  <r>
    <x v="833"/>
    <x v="1"/>
    <x v="0"/>
    <x v="3"/>
    <x v="3"/>
    <x v="0"/>
    <x v="2"/>
    <x v="1"/>
    <x v="1"/>
    <x v="0"/>
    <x v="2"/>
    <n v="37"/>
    <x v="0"/>
    <x v="1"/>
    <x v="0"/>
    <x v="1"/>
  </r>
  <r>
    <x v="834"/>
    <x v="1"/>
    <x v="0"/>
    <x v="3"/>
    <x v="4"/>
    <x v="3"/>
    <x v="0"/>
    <x v="1"/>
    <x v="2"/>
    <x v="1"/>
    <x v="2"/>
    <n v="54"/>
    <x v="1"/>
    <x v="1"/>
    <x v="0"/>
    <x v="1"/>
  </r>
  <r>
    <x v="835"/>
    <x v="1"/>
    <x v="0"/>
    <x v="10"/>
    <x v="1"/>
    <x v="0"/>
    <x v="0"/>
    <x v="0"/>
    <x v="0"/>
    <x v="1"/>
    <x v="2"/>
    <n v="40"/>
    <x v="0"/>
    <x v="1"/>
    <x v="0"/>
    <x v="1"/>
  </r>
  <r>
    <x v="836"/>
    <x v="0"/>
    <x v="0"/>
    <x v="0"/>
    <x v="3"/>
    <x v="1"/>
    <x v="0"/>
    <x v="0"/>
    <x v="2"/>
    <x v="2"/>
    <x v="2"/>
    <n v="28"/>
    <x v="2"/>
    <x v="0"/>
    <x v="0"/>
    <x v="0"/>
  </r>
  <r>
    <x v="837"/>
    <x v="0"/>
    <x v="1"/>
    <x v="10"/>
    <x v="0"/>
    <x v="4"/>
    <x v="0"/>
    <x v="0"/>
    <x v="0"/>
    <x v="0"/>
    <x v="2"/>
    <n v="33"/>
    <x v="0"/>
    <x v="0"/>
    <x v="0"/>
    <x v="0"/>
  </r>
  <r>
    <x v="838"/>
    <x v="1"/>
    <x v="0"/>
    <x v="2"/>
    <x v="1"/>
    <x v="0"/>
    <x v="0"/>
    <x v="0"/>
    <x v="2"/>
    <x v="1"/>
    <x v="2"/>
    <n v="41"/>
    <x v="0"/>
    <x v="1"/>
    <x v="1"/>
    <x v="1"/>
  </r>
  <r>
    <x v="839"/>
    <x v="1"/>
    <x v="0"/>
    <x v="2"/>
    <x v="1"/>
    <x v="4"/>
    <x v="2"/>
    <x v="0"/>
    <x v="0"/>
    <x v="0"/>
    <x v="2"/>
    <n v="37"/>
    <x v="0"/>
    <x v="1"/>
    <x v="1"/>
    <x v="1"/>
  </r>
  <r>
    <x v="840"/>
    <x v="0"/>
    <x v="1"/>
    <x v="3"/>
    <x v="5"/>
    <x v="1"/>
    <x v="2"/>
    <x v="0"/>
    <x v="2"/>
    <x v="4"/>
    <x v="2"/>
    <n v="53"/>
    <x v="1"/>
    <x v="0"/>
    <x v="0"/>
    <x v="0"/>
  </r>
  <r>
    <x v="841"/>
    <x v="0"/>
    <x v="1"/>
    <x v="7"/>
    <x v="4"/>
    <x v="4"/>
    <x v="4"/>
    <x v="0"/>
    <x v="4"/>
    <x v="2"/>
    <x v="2"/>
    <n v="64"/>
    <x v="1"/>
    <x v="0"/>
    <x v="1"/>
    <x v="0"/>
  </r>
  <r>
    <x v="842"/>
    <x v="0"/>
    <x v="0"/>
    <x v="10"/>
    <x v="0"/>
    <x v="1"/>
    <x v="0"/>
    <x v="0"/>
    <x v="1"/>
    <x v="1"/>
    <x v="2"/>
    <n v="45"/>
    <x v="0"/>
    <x v="1"/>
    <x v="0"/>
    <x v="1"/>
  </r>
  <r>
    <x v="843"/>
    <x v="1"/>
    <x v="1"/>
    <x v="2"/>
    <x v="4"/>
    <x v="3"/>
    <x v="0"/>
    <x v="1"/>
    <x v="2"/>
    <x v="3"/>
    <x v="2"/>
    <n v="52"/>
    <x v="1"/>
    <x v="0"/>
    <x v="1"/>
    <x v="0"/>
  </r>
  <r>
    <x v="844"/>
    <x v="0"/>
    <x v="0"/>
    <x v="0"/>
    <x v="2"/>
    <x v="2"/>
    <x v="2"/>
    <x v="0"/>
    <x v="2"/>
    <x v="4"/>
    <x v="2"/>
    <n v="60"/>
    <x v="1"/>
    <x v="0"/>
    <x v="0"/>
    <x v="0"/>
  </r>
  <r>
    <x v="845"/>
    <x v="1"/>
    <x v="0"/>
    <x v="6"/>
    <x v="1"/>
    <x v="3"/>
    <x v="1"/>
    <x v="0"/>
    <x v="2"/>
    <x v="3"/>
    <x v="2"/>
    <n v="50"/>
    <x v="0"/>
    <x v="0"/>
    <x v="0"/>
    <x v="0"/>
  </r>
  <r>
    <x v="846"/>
    <x v="0"/>
    <x v="0"/>
    <x v="3"/>
    <x v="5"/>
    <x v="1"/>
    <x v="2"/>
    <x v="1"/>
    <x v="1"/>
    <x v="3"/>
    <x v="2"/>
    <n v="56"/>
    <x v="1"/>
    <x v="0"/>
    <x v="0"/>
    <x v="0"/>
  </r>
  <r>
    <x v="847"/>
    <x v="1"/>
    <x v="0"/>
    <x v="0"/>
    <x v="3"/>
    <x v="3"/>
    <x v="1"/>
    <x v="0"/>
    <x v="2"/>
    <x v="2"/>
    <x v="2"/>
    <n v="29"/>
    <x v="2"/>
    <x v="0"/>
    <x v="0"/>
    <x v="0"/>
  </r>
  <r>
    <x v="848"/>
    <x v="1"/>
    <x v="1"/>
    <x v="12"/>
    <x v="3"/>
    <x v="4"/>
    <x v="4"/>
    <x v="1"/>
    <x v="2"/>
    <x v="0"/>
    <x v="2"/>
    <n v="38"/>
    <x v="0"/>
    <x v="1"/>
    <x v="2"/>
    <x v="1"/>
  </r>
  <r>
    <x v="849"/>
    <x v="0"/>
    <x v="0"/>
    <x v="0"/>
    <x v="2"/>
    <x v="2"/>
    <x v="2"/>
    <x v="1"/>
    <x v="2"/>
    <x v="1"/>
    <x v="2"/>
    <n v="60"/>
    <x v="1"/>
    <x v="0"/>
    <x v="0"/>
    <x v="0"/>
  </r>
  <r>
    <x v="850"/>
    <x v="1"/>
    <x v="0"/>
    <x v="12"/>
    <x v="4"/>
    <x v="0"/>
    <x v="4"/>
    <x v="1"/>
    <x v="3"/>
    <x v="0"/>
    <x v="2"/>
    <n v="67"/>
    <x v="1"/>
    <x v="0"/>
    <x v="2"/>
    <x v="0"/>
  </r>
  <r>
    <x v="851"/>
    <x v="0"/>
    <x v="1"/>
    <x v="10"/>
    <x v="3"/>
    <x v="1"/>
    <x v="0"/>
    <x v="0"/>
    <x v="1"/>
    <x v="2"/>
    <x v="2"/>
    <n v="32"/>
    <x v="0"/>
    <x v="1"/>
    <x v="0"/>
    <x v="1"/>
  </r>
  <r>
    <x v="852"/>
    <x v="1"/>
    <x v="1"/>
    <x v="14"/>
    <x v="4"/>
    <x v="0"/>
    <x v="0"/>
    <x v="1"/>
    <x v="1"/>
    <x v="0"/>
    <x v="2"/>
    <n v="39"/>
    <x v="0"/>
    <x v="1"/>
    <x v="0"/>
    <x v="1"/>
  </r>
  <r>
    <x v="853"/>
    <x v="1"/>
    <x v="1"/>
    <x v="10"/>
    <x v="0"/>
    <x v="4"/>
    <x v="2"/>
    <x v="0"/>
    <x v="0"/>
    <x v="1"/>
    <x v="2"/>
    <n v="35"/>
    <x v="0"/>
    <x v="1"/>
    <x v="0"/>
    <x v="1"/>
  </r>
  <r>
    <x v="854"/>
    <x v="0"/>
    <x v="0"/>
    <x v="10"/>
    <x v="3"/>
    <x v="1"/>
    <x v="2"/>
    <x v="0"/>
    <x v="2"/>
    <x v="2"/>
    <x v="2"/>
    <n v="32"/>
    <x v="0"/>
    <x v="0"/>
    <x v="0"/>
    <x v="0"/>
  </r>
  <r>
    <x v="855"/>
    <x v="1"/>
    <x v="0"/>
    <x v="1"/>
    <x v="3"/>
    <x v="1"/>
    <x v="0"/>
    <x v="1"/>
    <x v="1"/>
    <x v="3"/>
    <x v="2"/>
    <n v="31"/>
    <x v="0"/>
    <x v="0"/>
    <x v="0"/>
    <x v="0"/>
  </r>
  <r>
    <x v="856"/>
    <x v="1"/>
    <x v="1"/>
    <x v="0"/>
    <x v="3"/>
    <x v="1"/>
    <x v="0"/>
    <x v="0"/>
    <x v="1"/>
    <x v="2"/>
    <x v="2"/>
    <n v="27"/>
    <x v="2"/>
    <x v="0"/>
    <x v="0"/>
    <x v="0"/>
  </r>
  <r>
    <x v="857"/>
    <x v="0"/>
    <x v="0"/>
    <x v="10"/>
    <x v="0"/>
    <x v="0"/>
    <x v="2"/>
    <x v="0"/>
    <x v="1"/>
    <x v="0"/>
    <x v="2"/>
    <n v="47"/>
    <x v="0"/>
    <x v="1"/>
    <x v="0"/>
    <x v="1"/>
  </r>
  <r>
    <x v="858"/>
    <x v="0"/>
    <x v="1"/>
    <x v="0"/>
    <x v="3"/>
    <x v="0"/>
    <x v="2"/>
    <x v="1"/>
    <x v="1"/>
    <x v="0"/>
    <x v="2"/>
    <n v="42"/>
    <x v="0"/>
    <x v="0"/>
    <x v="0"/>
    <x v="0"/>
  </r>
  <r>
    <x v="859"/>
    <x v="0"/>
    <x v="1"/>
    <x v="1"/>
    <x v="4"/>
    <x v="2"/>
    <x v="0"/>
    <x v="0"/>
    <x v="2"/>
    <x v="3"/>
    <x v="2"/>
    <n v="49"/>
    <x v="0"/>
    <x v="0"/>
    <x v="0"/>
    <x v="0"/>
  </r>
  <r>
    <x v="860"/>
    <x v="1"/>
    <x v="1"/>
    <x v="1"/>
    <x v="3"/>
    <x v="1"/>
    <x v="0"/>
    <x v="0"/>
    <x v="1"/>
    <x v="2"/>
    <x v="2"/>
    <n v="32"/>
    <x v="0"/>
    <x v="0"/>
    <x v="0"/>
    <x v="0"/>
  </r>
  <r>
    <x v="861"/>
    <x v="0"/>
    <x v="0"/>
    <x v="6"/>
    <x v="4"/>
    <x v="2"/>
    <x v="3"/>
    <x v="1"/>
    <x v="2"/>
    <x v="3"/>
    <x v="2"/>
    <n v="53"/>
    <x v="1"/>
    <x v="1"/>
    <x v="0"/>
    <x v="1"/>
  </r>
  <r>
    <x v="862"/>
    <x v="0"/>
    <x v="1"/>
    <x v="14"/>
    <x v="3"/>
    <x v="4"/>
    <x v="0"/>
    <x v="0"/>
    <x v="0"/>
    <x v="3"/>
    <x v="2"/>
    <n v="32"/>
    <x v="0"/>
    <x v="1"/>
    <x v="0"/>
    <x v="1"/>
  </r>
  <r>
    <x v="863"/>
    <x v="1"/>
    <x v="1"/>
    <x v="2"/>
    <x v="3"/>
    <x v="0"/>
    <x v="4"/>
    <x v="1"/>
    <x v="1"/>
    <x v="0"/>
    <x v="2"/>
    <n v="38"/>
    <x v="0"/>
    <x v="1"/>
    <x v="1"/>
    <x v="1"/>
  </r>
  <r>
    <x v="864"/>
    <x v="1"/>
    <x v="1"/>
    <x v="0"/>
    <x v="3"/>
    <x v="2"/>
    <x v="0"/>
    <x v="0"/>
    <x v="2"/>
    <x v="2"/>
    <x v="2"/>
    <n v="31"/>
    <x v="0"/>
    <x v="0"/>
    <x v="0"/>
    <x v="0"/>
  </r>
  <r>
    <x v="865"/>
    <x v="1"/>
    <x v="0"/>
    <x v="2"/>
    <x v="3"/>
    <x v="0"/>
    <x v="4"/>
    <x v="1"/>
    <x v="1"/>
    <x v="0"/>
    <x v="2"/>
    <n v="38"/>
    <x v="0"/>
    <x v="1"/>
    <x v="1"/>
    <x v="1"/>
  </r>
  <r>
    <x v="866"/>
    <x v="0"/>
    <x v="1"/>
    <x v="10"/>
    <x v="4"/>
    <x v="2"/>
    <x v="2"/>
    <x v="0"/>
    <x v="2"/>
    <x v="4"/>
    <x v="2"/>
    <n v="55"/>
    <x v="1"/>
    <x v="0"/>
    <x v="0"/>
    <x v="0"/>
  </r>
  <r>
    <x v="867"/>
    <x v="0"/>
    <x v="1"/>
    <x v="3"/>
    <x v="1"/>
    <x v="1"/>
    <x v="2"/>
    <x v="0"/>
    <x v="1"/>
    <x v="2"/>
    <x v="2"/>
    <n v="49"/>
    <x v="0"/>
    <x v="0"/>
    <x v="0"/>
    <x v="0"/>
  </r>
  <r>
    <x v="868"/>
    <x v="1"/>
    <x v="1"/>
    <x v="1"/>
    <x v="2"/>
    <x v="3"/>
    <x v="0"/>
    <x v="0"/>
    <x v="4"/>
    <x v="4"/>
    <x v="2"/>
    <n v="60"/>
    <x v="1"/>
    <x v="1"/>
    <x v="0"/>
    <x v="1"/>
  </r>
  <r>
    <x v="869"/>
    <x v="1"/>
    <x v="0"/>
    <x v="15"/>
    <x v="1"/>
    <x v="0"/>
    <x v="4"/>
    <x v="1"/>
    <x v="3"/>
    <x v="3"/>
    <x v="2"/>
    <n v="42"/>
    <x v="0"/>
    <x v="0"/>
    <x v="1"/>
    <x v="0"/>
  </r>
  <r>
    <x v="870"/>
    <x v="0"/>
    <x v="1"/>
    <x v="10"/>
    <x v="0"/>
    <x v="1"/>
    <x v="0"/>
    <x v="0"/>
    <x v="1"/>
    <x v="0"/>
    <x v="2"/>
    <n v="46"/>
    <x v="0"/>
    <x v="0"/>
    <x v="0"/>
    <x v="0"/>
  </r>
  <r>
    <x v="871"/>
    <x v="0"/>
    <x v="1"/>
    <x v="10"/>
    <x v="4"/>
    <x v="2"/>
    <x v="2"/>
    <x v="0"/>
    <x v="2"/>
    <x v="4"/>
    <x v="2"/>
    <n v="55"/>
    <x v="1"/>
    <x v="0"/>
    <x v="0"/>
    <x v="0"/>
  </r>
  <r>
    <x v="872"/>
    <x v="1"/>
    <x v="0"/>
    <x v="3"/>
    <x v="1"/>
    <x v="4"/>
    <x v="4"/>
    <x v="0"/>
    <x v="2"/>
    <x v="2"/>
    <x v="2"/>
    <n v="53"/>
    <x v="1"/>
    <x v="1"/>
    <x v="0"/>
    <x v="1"/>
  </r>
  <r>
    <x v="873"/>
    <x v="0"/>
    <x v="1"/>
    <x v="14"/>
    <x v="1"/>
    <x v="0"/>
    <x v="0"/>
    <x v="0"/>
    <x v="2"/>
    <x v="1"/>
    <x v="2"/>
    <n v="40"/>
    <x v="0"/>
    <x v="0"/>
    <x v="0"/>
    <x v="0"/>
  </r>
  <r>
    <x v="874"/>
    <x v="0"/>
    <x v="0"/>
    <x v="1"/>
    <x v="0"/>
    <x v="0"/>
    <x v="0"/>
    <x v="0"/>
    <x v="1"/>
    <x v="2"/>
    <x v="2"/>
    <n v="53"/>
    <x v="1"/>
    <x v="1"/>
    <x v="0"/>
    <x v="1"/>
  </r>
  <r>
    <x v="875"/>
    <x v="1"/>
    <x v="0"/>
    <x v="3"/>
    <x v="4"/>
    <x v="0"/>
    <x v="0"/>
    <x v="0"/>
    <x v="0"/>
    <x v="1"/>
    <x v="2"/>
    <n v="38"/>
    <x v="0"/>
    <x v="1"/>
    <x v="0"/>
    <x v="1"/>
  </r>
  <r>
    <x v="876"/>
    <x v="1"/>
    <x v="1"/>
    <x v="1"/>
    <x v="3"/>
    <x v="3"/>
    <x v="1"/>
    <x v="1"/>
    <x v="2"/>
    <x v="0"/>
    <x v="2"/>
    <n v="26"/>
    <x v="2"/>
    <x v="0"/>
    <x v="0"/>
    <x v="0"/>
  </r>
  <r>
    <x v="877"/>
    <x v="0"/>
    <x v="1"/>
    <x v="3"/>
    <x v="2"/>
    <x v="0"/>
    <x v="4"/>
    <x v="0"/>
    <x v="2"/>
    <x v="1"/>
    <x v="2"/>
    <n v="61"/>
    <x v="1"/>
    <x v="0"/>
    <x v="0"/>
    <x v="0"/>
  </r>
  <r>
    <x v="878"/>
    <x v="0"/>
    <x v="1"/>
    <x v="14"/>
    <x v="4"/>
    <x v="4"/>
    <x v="4"/>
    <x v="0"/>
    <x v="2"/>
    <x v="2"/>
    <x v="2"/>
    <n v="71"/>
    <x v="1"/>
    <x v="0"/>
    <x v="0"/>
    <x v="0"/>
  </r>
  <r>
    <x v="879"/>
    <x v="0"/>
    <x v="1"/>
    <x v="8"/>
    <x v="5"/>
    <x v="2"/>
    <x v="2"/>
    <x v="0"/>
    <x v="2"/>
    <x v="3"/>
    <x v="2"/>
    <n v="45"/>
    <x v="0"/>
    <x v="0"/>
    <x v="1"/>
    <x v="0"/>
  </r>
  <r>
    <x v="880"/>
    <x v="0"/>
    <x v="1"/>
    <x v="2"/>
    <x v="4"/>
    <x v="4"/>
    <x v="2"/>
    <x v="0"/>
    <x v="0"/>
    <x v="0"/>
    <x v="2"/>
    <n v="37"/>
    <x v="0"/>
    <x v="1"/>
    <x v="1"/>
    <x v="1"/>
  </r>
  <r>
    <x v="881"/>
    <x v="0"/>
    <x v="0"/>
    <x v="2"/>
    <x v="5"/>
    <x v="4"/>
    <x v="4"/>
    <x v="0"/>
    <x v="2"/>
    <x v="0"/>
    <x v="2"/>
    <n v="72"/>
    <x v="1"/>
    <x v="1"/>
    <x v="1"/>
    <x v="1"/>
  </r>
  <r>
    <x v="882"/>
    <x v="0"/>
    <x v="1"/>
    <x v="1"/>
    <x v="3"/>
    <x v="4"/>
    <x v="0"/>
    <x v="0"/>
    <x v="0"/>
    <x v="0"/>
    <x v="2"/>
    <n v="32"/>
    <x v="0"/>
    <x v="0"/>
    <x v="0"/>
    <x v="0"/>
  </r>
  <r>
    <x v="883"/>
    <x v="0"/>
    <x v="0"/>
    <x v="10"/>
    <x v="0"/>
    <x v="0"/>
    <x v="2"/>
    <x v="0"/>
    <x v="1"/>
    <x v="1"/>
    <x v="2"/>
    <n v="48"/>
    <x v="0"/>
    <x v="1"/>
    <x v="0"/>
    <x v="1"/>
  </r>
  <r>
    <x v="884"/>
    <x v="0"/>
    <x v="1"/>
    <x v="2"/>
    <x v="5"/>
    <x v="4"/>
    <x v="4"/>
    <x v="0"/>
    <x v="2"/>
    <x v="2"/>
    <x v="2"/>
    <n v="68"/>
    <x v="1"/>
    <x v="0"/>
    <x v="1"/>
    <x v="0"/>
  </r>
  <r>
    <x v="885"/>
    <x v="0"/>
    <x v="0"/>
    <x v="6"/>
    <x v="4"/>
    <x v="3"/>
    <x v="1"/>
    <x v="0"/>
    <x v="2"/>
    <x v="0"/>
    <x v="2"/>
    <n v="49"/>
    <x v="0"/>
    <x v="0"/>
    <x v="0"/>
    <x v="0"/>
  </r>
  <r>
    <x v="886"/>
    <x v="0"/>
    <x v="1"/>
    <x v="3"/>
    <x v="1"/>
    <x v="4"/>
    <x v="2"/>
    <x v="0"/>
    <x v="0"/>
    <x v="1"/>
    <x v="2"/>
    <n v="34"/>
    <x v="0"/>
    <x v="0"/>
    <x v="0"/>
    <x v="0"/>
  </r>
  <r>
    <x v="887"/>
    <x v="0"/>
    <x v="1"/>
    <x v="14"/>
    <x v="3"/>
    <x v="4"/>
    <x v="0"/>
    <x v="0"/>
    <x v="0"/>
    <x v="0"/>
    <x v="2"/>
    <n v="32"/>
    <x v="0"/>
    <x v="0"/>
    <x v="0"/>
    <x v="0"/>
  </r>
  <r>
    <x v="888"/>
    <x v="1"/>
    <x v="0"/>
    <x v="10"/>
    <x v="5"/>
    <x v="0"/>
    <x v="0"/>
    <x v="1"/>
    <x v="2"/>
    <x v="0"/>
    <x v="2"/>
    <n v="42"/>
    <x v="0"/>
    <x v="0"/>
    <x v="0"/>
    <x v="0"/>
  </r>
  <r>
    <x v="889"/>
    <x v="0"/>
    <x v="0"/>
    <x v="3"/>
    <x v="0"/>
    <x v="4"/>
    <x v="0"/>
    <x v="0"/>
    <x v="0"/>
    <x v="0"/>
    <x v="2"/>
    <n v="35"/>
    <x v="0"/>
    <x v="1"/>
    <x v="0"/>
    <x v="1"/>
  </r>
  <r>
    <x v="890"/>
    <x v="0"/>
    <x v="0"/>
    <x v="0"/>
    <x v="4"/>
    <x v="1"/>
    <x v="1"/>
    <x v="0"/>
    <x v="1"/>
    <x v="0"/>
    <x v="2"/>
    <n v="48"/>
    <x v="0"/>
    <x v="0"/>
    <x v="0"/>
    <x v="0"/>
  </r>
  <r>
    <x v="891"/>
    <x v="1"/>
    <x v="1"/>
    <x v="11"/>
    <x v="0"/>
    <x v="4"/>
    <x v="4"/>
    <x v="0"/>
    <x v="4"/>
    <x v="1"/>
    <x v="2"/>
    <n v="73"/>
    <x v="1"/>
    <x v="1"/>
    <x v="1"/>
    <x v="1"/>
  </r>
  <r>
    <x v="892"/>
    <x v="1"/>
    <x v="0"/>
    <x v="3"/>
    <x v="5"/>
    <x v="0"/>
    <x v="0"/>
    <x v="0"/>
    <x v="2"/>
    <x v="1"/>
    <x v="2"/>
    <n v="43"/>
    <x v="0"/>
    <x v="1"/>
    <x v="0"/>
    <x v="1"/>
  </r>
  <r>
    <x v="893"/>
    <x v="0"/>
    <x v="1"/>
    <x v="10"/>
    <x v="0"/>
    <x v="4"/>
    <x v="2"/>
    <x v="0"/>
    <x v="0"/>
    <x v="0"/>
    <x v="2"/>
    <n v="35"/>
    <x v="0"/>
    <x v="0"/>
    <x v="0"/>
    <x v="0"/>
  </r>
  <r>
    <x v="894"/>
    <x v="0"/>
    <x v="1"/>
    <x v="3"/>
    <x v="1"/>
    <x v="4"/>
    <x v="2"/>
    <x v="0"/>
    <x v="0"/>
    <x v="0"/>
    <x v="2"/>
    <n v="35"/>
    <x v="0"/>
    <x v="1"/>
    <x v="0"/>
    <x v="1"/>
  </r>
  <r>
    <x v="895"/>
    <x v="0"/>
    <x v="0"/>
    <x v="14"/>
    <x v="5"/>
    <x v="0"/>
    <x v="4"/>
    <x v="0"/>
    <x v="2"/>
    <x v="3"/>
    <x v="2"/>
    <n v="64"/>
    <x v="1"/>
    <x v="1"/>
    <x v="0"/>
    <x v="1"/>
  </r>
  <r>
    <x v="896"/>
    <x v="0"/>
    <x v="0"/>
    <x v="14"/>
    <x v="0"/>
    <x v="0"/>
    <x v="0"/>
    <x v="0"/>
    <x v="0"/>
    <x v="0"/>
    <x v="2"/>
    <n v="34"/>
    <x v="0"/>
    <x v="1"/>
    <x v="0"/>
    <x v="1"/>
  </r>
  <r>
    <x v="897"/>
    <x v="0"/>
    <x v="1"/>
    <x v="1"/>
    <x v="3"/>
    <x v="3"/>
    <x v="1"/>
    <x v="1"/>
    <x v="2"/>
    <x v="0"/>
    <x v="2"/>
    <n v="28"/>
    <x v="2"/>
    <x v="0"/>
    <x v="0"/>
    <x v="0"/>
  </r>
  <r>
    <x v="898"/>
    <x v="1"/>
    <x v="1"/>
    <x v="3"/>
    <x v="2"/>
    <x v="0"/>
    <x v="4"/>
    <x v="0"/>
    <x v="4"/>
    <x v="4"/>
    <x v="2"/>
    <n v="60"/>
    <x v="1"/>
    <x v="1"/>
    <x v="0"/>
    <x v="1"/>
  </r>
  <r>
    <x v="899"/>
    <x v="0"/>
    <x v="0"/>
    <x v="3"/>
    <x v="2"/>
    <x v="4"/>
    <x v="2"/>
    <x v="0"/>
    <x v="4"/>
    <x v="4"/>
    <x v="2"/>
    <n v="46"/>
    <x v="0"/>
    <x v="0"/>
    <x v="0"/>
    <x v="0"/>
  </r>
  <r>
    <x v="900"/>
    <x v="0"/>
    <x v="1"/>
    <x v="0"/>
    <x v="5"/>
    <x v="2"/>
    <x v="0"/>
    <x v="0"/>
    <x v="2"/>
    <x v="0"/>
    <x v="2"/>
    <n v="44"/>
    <x v="0"/>
    <x v="1"/>
    <x v="0"/>
    <x v="1"/>
  </r>
  <r>
    <x v="901"/>
    <x v="1"/>
    <x v="0"/>
    <x v="10"/>
    <x v="5"/>
    <x v="0"/>
    <x v="0"/>
    <x v="0"/>
    <x v="2"/>
    <x v="1"/>
    <x v="2"/>
    <n v="42"/>
    <x v="0"/>
    <x v="1"/>
    <x v="0"/>
    <x v="1"/>
  </r>
  <r>
    <x v="902"/>
    <x v="1"/>
    <x v="1"/>
    <x v="2"/>
    <x v="1"/>
    <x v="0"/>
    <x v="0"/>
    <x v="0"/>
    <x v="0"/>
    <x v="1"/>
    <x v="2"/>
    <n v="40"/>
    <x v="0"/>
    <x v="0"/>
    <x v="1"/>
    <x v="0"/>
  </r>
  <r>
    <x v="903"/>
    <x v="1"/>
    <x v="1"/>
    <x v="8"/>
    <x v="5"/>
    <x v="4"/>
    <x v="4"/>
    <x v="0"/>
    <x v="1"/>
    <x v="2"/>
    <x v="2"/>
    <n v="73"/>
    <x v="1"/>
    <x v="0"/>
    <x v="1"/>
    <x v="0"/>
  </r>
  <r>
    <x v="904"/>
    <x v="1"/>
    <x v="0"/>
    <x v="10"/>
    <x v="4"/>
    <x v="0"/>
    <x v="0"/>
    <x v="1"/>
    <x v="0"/>
    <x v="0"/>
    <x v="2"/>
    <n v="36"/>
    <x v="0"/>
    <x v="1"/>
    <x v="0"/>
    <x v="1"/>
  </r>
  <r>
    <x v="905"/>
    <x v="1"/>
    <x v="1"/>
    <x v="8"/>
    <x v="5"/>
    <x v="0"/>
    <x v="4"/>
    <x v="0"/>
    <x v="1"/>
    <x v="3"/>
    <x v="2"/>
    <n v="38"/>
    <x v="0"/>
    <x v="1"/>
    <x v="1"/>
    <x v="1"/>
  </r>
  <r>
    <x v="906"/>
    <x v="0"/>
    <x v="1"/>
    <x v="10"/>
    <x v="0"/>
    <x v="4"/>
    <x v="2"/>
    <x v="0"/>
    <x v="0"/>
    <x v="1"/>
    <x v="2"/>
    <n v="34"/>
    <x v="0"/>
    <x v="1"/>
    <x v="0"/>
    <x v="1"/>
  </r>
  <r>
    <x v="907"/>
    <x v="0"/>
    <x v="1"/>
    <x v="14"/>
    <x v="5"/>
    <x v="0"/>
    <x v="4"/>
    <x v="0"/>
    <x v="2"/>
    <x v="4"/>
    <x v="2"/>
    <n v="63"/>
    <x v="1"/>
    <x v="0"/>
    <x v="0"/>
    <x v="0"/>
  </r>
  <r>
    <x v="908"/>
    <x v="1"/>
    <x v="1"/>
    <x v="14"/>
    <x v="1"/>
    <x v="0"/>
    <x v="0"/>
    <x v="0"/>
    <x v="2"/>
    <x v="1"/>
    <x v="2"/>
    <n v="41"/>
    <x v="0"/>
    <x v="1"/>
    <x v="0"/>
    <x v="1"/>
  </r>
  <r>
    <x v="909"/>
    <x v="0"/>
    <x v="1"/>
    <x v="10"/>
    <x v="3"/>
    <x v="4"/>
    <x v="0"/>
    <x v="0"/>
    <x v="0"/>
    <x v="3"/>
    <x v="2"/>
    <n v="39"/>
    <x v="0"/>
    <x v="1"/>
    <x v="0"/>
    <x v="1"/>
  </r>
  <r>
    <x v="910"/>
    <x v="0"/>
    <x v="1"/>
    <x v="0"/>
    <x v="5"/>
    <x v="2"/>
    <x v="0"/>
    <x v="0"/>
    <x v="2"/>
    <x v="1"/>
    <x v="2"/>
    <n v="46"/>
    <x v="0"/>
    <x v="0"/>
    <x v="0"/>
    <x v="0"/>
  </r>
  <r>
    <x v="911"/>
    <x v="0"/>
    <x v="0"/>
    <x v="2"/>
    <x v="2"/>
    <x v="0"/>
    <x v="4"/>
    <x v="0"/>
    <x v="2"/>
    <x v="2"/>
    <x v="2"/>
    <n v="64"/>
    <x v="1"/>
    <x v="0"/>
    <x v="1"/>
    <x v="0"/>
  </r>
  <r>
    <x v="912"/>
    <x v="0"/>
    <x v="0"/>
    <x v="0"/>
    <x v="1"/>
    <x v="1"/>
    <x v="1"/>
    <x v="0"/>
    <x v="1"/>
    <x v="3"/>
    <x v="2"/>
    <n v="32"/>
    <x v="0"/>
    <x v="0"/>
    <x v="0"/>
    <x v="0"/>
  </r>
  <r>
    <x v="913"/>
    <x v="1"/>
    <x v="1"/>
    <x v="10"/>
    <x v="4"/>
    <x v="0"/>
    <x v="0"/>
    <x v="0"/>
    <x v="0"/>
    <x v="1"/>
    <x v="2"/>
    <n v="36"/>
    <x v="0"/>
    <x v="1"/>
    <x v="0"/>
    <x v="1"/>
  </r>
  <r>
    <x v="914"/>
    <x v="1"/>
    <x v="1"/>
    <x v="2"/>
    <x v="2"/>
    <x v="4"/>
    <x v="0"/>
    <x v="1"/>
    <x v="0"/>
    <x v="0"/>
    <x v="2"/>
    <n v="47"/>
    <x v="0"/>
    <x v="0"/>
    <x v="1"/>
    <x v="0"/>
  </r>
  <r>
    <x v="915"/>
    <x v="0"/>
    <x v="1"/>
    <x v="10"/>
    <x v="1"/>
    <x v="4"/>
    <x v="4"/>
    <x v="0"/>
    <x v="2"/>
    <x v="4"/>
    <x v="2"/>
    <n v="64"/>
    <x v="1"/>
    <x v="0"/>
    <x v="0"/>
    <x v="0"/>
  </r>
  <r>
    <x v="916"/>
    <x v="1"/>
    <x v="1"/>
    <x v="3"/>
    <x v="1"/>
    <x v="4"/>
    <x v="2"/>
    <x v="1"/>
    <x v="0"/>
    <x v="0"/>
    <x v="2"/>
    <n v="35"/>
    <x v="0"/>
    <x v="1"/>
    <x v="0"/>
    <x v="1"/>
  </r>
  <r>
    <x v="917"/>
    <x v="1"/>
    <x v="1"/>
    <x v="15"/>
    <x v="1"/>
    <x v="0"/>
    <x v="4"/>
    <x v="0"/>
    <x v="3"/>
    <x v="1"/>
    <x v="2"/>
    <n v="40"/>
    <x v="0"/>
    <x v="1"/>
    <x v="1"/>
    <x v="1"/>
  </r>
  <r>
    <x v="918"/>
    <x v="0"/>
    <x v="0"/>
    <x v="3"/>
    <x v="3"/>
    <x v="1"/>
    <x v="0"/>
    <x v="0"/>
    <x v="2"/>
    <x v="2"/>
    <x v="2"/>
    <n v="34"/>
    <x v="0"/>
    <x v="1"/>
    <x v="0"/>
    <x v="1"/>
  </r>
  <r>
    <x v="919"/>
    <x v="0"/>
    <x v="0"/>
    <x v="0"/>
    <x v="5"/>
    <x v="2"/>
    <x v="2"/>
    <x v="0"/>
    <x v="2"/>
    <x v="4"/>
    <x v="2"/>
    <n v="61"/>
    <x v="1"/>
    <x v="0"/>
    <x v="0"/>
    <x v="0"/>
  </r>
  <r>
    <x v="920"/>
    <x v="0"/>
    <x v="1"/>
    <x v="1"/>
    <x v="4"/>
    <x v="2"/>
    <x v="0"/>
    <x v="0"/>
    <x v="2"/>
    <x v="3"/>
    <x v="2"/>
    <n v="51"/>
    <x v="1"/>
    <x v="0"/>
    <x v="0"/>
    <x v="0"/>
  </r>
  <r>
    <x v="921"/>
    <x v="1"/>
    <x v="0"/>
    <x v="3"/>
    <x v="1"/>
    <x v="1"/>
    <x v="2"/>
    <x v="0"/>
    <x v="1"/>
    <x v="2"/>
    <x v="2"/>
    <n v="49"/>
    <x v="0"/>
    <x v="1"/>
    <x v="0"/>
    <x v="1"/>
  </r>
  <r>
    <x v="922"/>
    <x v="0"/>
    <x v="0"/>
    <x v="0"/>
    <x v="1"/>
    <x v="1"/>
    <x v="2"/>
    <x v="1"/>
    <x v="2"/>
    <x v="3"/>
    <x v="2"/>
    <n v="54"/>
    <x v="1"/>
    <x v="1"/>
    <x v="0"/>
    <x v="1"/>
  </r>
  <r>
    <x v="923"/>
    <x v="1"/>
    <x v="1"/>
    <x v="3"/>
    <x v="1"/>
    <x v="4"/>
    <x v="4"/>
    <x v="1"/>
    <x v="2"/>
    <x v="3"/>
    <x v="2"/>
    <n v="53"/>
    <x v="1"/>
    <x v="1"/>
    <x v="0"/>
    <x v="1"/>
  </r>
  <r>
    <x v="924"/>
    <x v="1"/>
    <x v="1"/>
    <x v="8"/>
    <x v="4"/>
    <x v="1"/>
    <x v="2"/>
    <x v="0"/>
    <x v="1"/>
    <x v="1"/>
    <x v="2"/>
    <n v="48"/>
    <x v="0"/>
    <x v="1"/>
    <x v="1"/>
    <x v="1"/>
  </r>
  <r>
    <x v="925"/>
    <x v="1"/>
    <x v="0"/>
    <x v="14"/>
    <x v="3"/>
    <x v="4"/>
    <x v="0"/>
    <x v="0"/>
    <x v="0"/>
    <x v="3"/>
    <x v="2"/>
    <n v="33"/>
    <x v="0"/>
    <x v="1"/>
    <x v="0"/>
    <x v="1"/>
  </r>
  <r>
    <x v="926"/>
    <x v="1"/>
    <x v="0"/>
    <x v="0"/>
    <x v="4"/>
    <x v="2"/>
    <x v="2"/>
    <x v="0"/>
    <x v="2"/>
    <x v="4"/>
    <x v="2"/>
    <n v="57"/>
    <x v="1"/>
    <x v="0"/>
    <x v="0"/>
    <x v="0"/>
  </r>
  <r>
    <x v="927"/>
    <x v="0"/>
    <x v="0"/>
    <x v="3"/>
    <x v="3"/>
    <x v="4"/>
    <x v="2"/>
    <x v="0"/>
    <x v="0"/>
    <x v="1"/>
    <x v="2"/>
    <n v="39"/>
    <x v="0"/>
    <x v="0"/>
    <x v="0"/>
    <x v="0"/>
  </r>
  <r>
    <x v="928"/>
    <x v="0"/>
    <x v="1"/>
    <x v="10"/>
    <x v="4"/>
    <x v="2"/>
    <x v="2"/>
    <x v="0"/>
    <x v="2"/>
    <x v="2"/>
    <x v="2"/>
    <n v="48"/>
    <x v="0"/>
    <x v="0"/>
    <x v="0"/>
    <x v="0"/>
  </r>
  <r>
    <x v="929"/>
    <x v="0"/>
    <x v="1"/>
    <x v="10"/>
    <x v="4"/>
    <x v="2"/>
    <x v="2"/>
    <x v="0"/>
    <x v="2"/>
    <x v="2"/>
    <x v="2"/>
    <n v="50"/>
    <x v="0"/>
    <x v="0"/>
    <x v="0"/>
    <x v="0"/>
  </r>
  <r>
    <x v="930"/>
    <x v="0"/>
    <x v="1"/>
    <x v="3"/>
    <x v="2"/>
    <x v="4"/>
    <x v="2"/>
    <x v="1"/>
    <x v="4"/>
    <x v="4"/>
    <x v="2"/>
    <n v="47"/>
    <x v="0"/>
    <x v="0"/>
    <x v="0"/>
    <x v="0"/>
  </r>
  <r>
    <x v="931"/>
    <x v="0"/>
    <x v="0"/>
    <x v="0"/>
    <x v="0"/>
    <x v="1"/>
    <x v="1"/>
    <x v="0"/>
    <x v="1"/>
    <x v="3"/>
    <x v="2"/>
    <n v="49"/>
    <x v="0"/>
    <x v="1"/>
    <x v="0"/>
    <x v="1"/>
  </r>
  <r>
    <x v="932"/>
    <x v="1"/>
    <x v="0"/>
    <x v="0"/>
    <x v="3"/>
    <x v="2"/>
    <x v="0"/>
    <x v="1"/>
    <x v="2"/>
    <x v="0"/>
    <x v="2"/>
    <n v="27"/>
    <x v="2"/>
    <x v="1"/>
    <x v="0"/>
    <x v="1"/>
  </r>
  <r>
    <x v="933"/>
    <x v="1"/>
    <x v="1"/>
    <x v="10"/>
    <x v="3"/>
    <x v="1"/>
    <x v="0"/>
    <x v="0"/>
    <x v="0"/>
    <x v="2"/>
    <x v="2"/>
    <n v="29"/>
    <x v="2"/>
    <x v="0"/>
    <x v="0"/>
    <x v="0"/>
  </r>
  <r>
    <x v="934"/>
    <x v="0"/>
    <x v="1"/>
    <x v="10"/>
    <x v="4"/>
    <x v="0"/>
    <x v="4"/>
    <x v="0"/>
    <x v="0"/>
    <x v="1"/>
    <x v="2"/>
    <n v="59"/>
    <x v="1"/>
    <x v="0"/>
    <x v="0"/>
    <x v="0"/>
  </r>
  <r>
    <x v="935"/>
    <x v="0"/>
    <x v="0"/>
    <x v="10"/>
    <x v="0"/>
    <x v="1"/>
    <x v="0"/>
    <x v="0"/>
    <x v="1"/>
    <x v="0"/>
    <x v="2"/>
    <n v="45"/>
    <x v="0"/>
    <x v="1"/>
    <x v="0"/>
    <x v="1"/>
  </r>
  <r>
    <x v="936"/>
    <x v="0"/>
    <x v="0"/>
    <x v="10"/>
    <x v="5"/>
    <x v="0"/>
    <x v="4"/>
    <x v="0"/>
    <x v="2"/>
    <x v="1"/>
    <x v="2"/>
    <n v="60"/>
    <x v="1"/>
    <x v="0"/>
    <x v="0"/>
    <x v="0"/>
  </r>
  <r>
    <x v="937"/>
    <x v="0"/>
    <x v="1"/>
    <x v="3"/>
    <x v="5"/>
    <x v="4"/>
    <x v="2"/>
    <x v="0"/>
    <x v="0"/>
    <x v="0"/>
    <x v="2"/>
    <n v="36"/>
    <x v="0"/>
    <x v="1"/>
    <x v="0"/>
    <x v="1"/>
  </r>
  <r>
    <x v="938"/>
    <x v="0"/>
    <x v="0"/>
    <x v="0"/>
    <x v="3"/>
    <x v="2"/>
    <x v="0"/>
    <x v="0"/>
    <x v="2"/>
    <x v="2"/>
    <x v="2"/>
    <n v="27"/>
    <x v="2"/>
    <x v="0"/>
    <x v="0"/>
    <x v="0"/>
  </r>
  <r>
    <x v="939"/>
    <x v="1"/>
    <x v="1"/>
    <x v="2"/>
    <x v="4"/>
    <x v="3"/>
    <x v="0"/>
    <x v="1"/>
    <x v="2"/>
    <x v="3"/>
    <x v="2"/>
    <n v="50"/>
    <x v="0"/>
    <x v="0"/>
    <x v="1"/>
    <x v="0"/>
  </r>
  <r>
    <x v="940"/>
    <x v="1"/>
    <x v="0"/>
    <x v="10"/>
    <x v="0"/>
    <x v="4"/>
    <x v="0"/>
    <x v="0"/>
    <x v="0"/>
    <x v="3"/>
    <x v="2"/>
    <n v="35"/>
    <x v="0"/>
    <x v="0"/>
    <x v="0"/>
    <x v="0"/>
  </r>
  <r>
    <x v="941"/>
    <x v="0"/>
    <x v="0"/>
    <x v="10"/>
    <x v="0"/>
    <x v="4"/>
    <x v="0"/>
    <x v="0"/>
    <x v="0"/>
    <x v="1"/>
    <x v="2"/>
    <n v="34"/>
    <x v="0"/>
    <x v="1"/>
    <x v="0"/>
    <x v="1"/>
  </r>
  <r>
    <x v="942"/>
    <x v="0"/>
    <x v="0"/>
    <x v="0"/>
    <x v="1"/>
    <x v="1"/>
    <x v="2"/>
    <x v="0"/>
    <x v="2"/>
    <x v="2"/>
    <x v="2"/>
    <n v="54"/>
    <x v="1"/>
    <x v="0"/>
    <x v="0"/>
    <x v="0"/>
  </r>
  <r>
    <x v="943"/>
    <x v="0"/>
    <x v="0"/>
    <x v="10"/>
    <x v="5"/>
    <x v="0"/>
    <x v="0"/>
    <x v="1"/>
    <x v="2"/>
    <x v="0"/>
    <x v="2"/>
    <n v="42"/>
    <x v="0"/>
    <x v="0"/>
    <x v="0"/>
    <x v="0"/>
  </r>
  <r>
    <x v="944"/>
    <x v="0"/>
    <x v="0"/>
    <x v="14"/>
    <x v="0"/>
    <x v="0"/>
    <x v="0"/>
    <x v="0"/>
    <x v="0"/>
    <x v="1"/>
    <x v="2"/>
    <n v="34"/>
    <x v="0"/>
    <x v="1"/>
    <x v="0"/>
    <x v="1"/>
  </r>
  <r>
    <x v="945"/>
    <x v="1"/>
    <x v="1"/>
    <x v="14"/>
    <x v="4"/>
    <x v="0"/>
    <x v="0"/>
    <x v="1"/>
    <x v="1"/>
    <x v="0"/>
    <x v="2"/>
    <n v="38"/>
    <x v="0"/>
    <x v="1"/>
    <x v="0"/>
    <x v="1"/>
  </r>
  <r>
    <x v="946"/>
    <x v="0"/>
    <x v="0"/>
    <x v="8"/>
    <x v="2"/>
    <x v="0"/>
    <x v="4"/>
    <x v="0"/>
    <x v="2"/>
    <x v="3"/>
    <x v="2"/>
    <n v="63"/>
    <x v="1"/>
    <x v="1"/>
    <x v="1"/>
    <x v="1"/>
  </r>
  <r>
    <x v="947"/>
    <x v="1"/>
    <x v="0"/>
    <x v="8"/>
    <x v="5"/>
    <x v="2"/>
    <x v="2"/>
    <x v="1"/>
    <x v="4"/>
    <x v="3"/>
    <x v="2"/>
    <n v="45"/>
    <x v="0"/>
    <x v="1"/>
    <x v="1"/>
    <x v="1"/>
  </r>
  <r>
    <x v="948"/>
    <x v="1"/>
    <x v="0"/>
    <x v="10"/>
    <x v="3"/>
    <x v="4"/>
    <x v="0"/>
    <x v="1"/>
    <x v="0"/>
    <x v="0"/>
    <x v="2"/>
    <n v="40"/>
    <x v="0"/>
    <x v="0"/>
    <x v="0"/>
    <x v="0"/>
  </r>
  <r>
    <x v="949"/>
    <x v="0"/>
    <x v="1"/>
    <x v="3"/>
    <x v="4"/>
    <x v="3"/>
    <x v="0"/>
    <x v="0"/>
    <x v="2"/>
    <x v="4"/>
    <x v="2"/>
    <n v="53"/>
    <x v="1"/>
    <x v="0"/>
    <x v="0"/>
    <x v="0"/>
  </r>
  <r>
    <x v="950"/>
    <x v="1"/>
    <x v="0"/>
    <x v="3"/>
    <x v="0"/>
    <x v="4"/>
    <x v="2"/>
    <x v="0"/>
    <x v="0"/>
    <x v="1"/>
    <x v="2"/>
    <n v="34"/>
    <x v="0"/>
    <x v="0"/>
    <x v="0"/>
    <x v="0"/>
  </r>
  <r>
    <x v="951"/>
    <x v="0"/>
    <x v="1"/>
    <x v="3"/>
    <x v="3"/>
    <x v="0"/>
    <x v="2"/>
    <x v="1"/>
    <x v="1"/>
    <x v="0"/>
    <x v="2"/>
    <n v="38"/>
    <x v="0"/>
    <x v="0"/>
    <x v="0"/>
    <x v="0"/>
  </r>
  <r>
    <x v="952"/>
    <x v="0"/>
    <x v="0"/>
    <x v="3"/>
    <x v="5"/>
    <x v="0"/>
    <x v="4"/>
    <x v="1"/>
    <x v="1"/>
    <x v="3"/>
    <x v="2"/>
    <n v="59"/>
    <x v="1"/>
    <x v="0"/>
    <x v="0"/>
    <x v="0"/>
  </r>
  <r>
    <x v="953"/>
    <x v="1"/>
    <x v="0"/>
    <x v="0"/>
    <x v="1"/>
    <x v="1"/>
    <x v="1"/>
    <x v="0"/>
    <x v="1"/>
    <x v="3"/>
    <x v="2"/>
    <n v="30"/>
    <x v="2"/>
    <x v="1"/>
    <x v="0"/>
    <x v="1"/>
  </r>
  <r>
    <x v="954"/>
    <x v="0"/>
    <x v="1"/>
    <x v="10"/>
    <x v="0"/>
    <x v="0"/>
    <x v="2"/>
    <x v="0"/>
    <x v="1"/>
    <x v="0"/>
    <x v="2"/>
    <n v="48"/>
    <x v="0"/>
    <x v="1"/>
    <x v="0"/>
    <x v="1"/>
  </r>
  <r>
    <x v="955"/>
    <x v="0"/>
    <x v="0"/>
    <x v="0"/>
    <x v="5"/>
    <x v="2"/>
    <x v="0"/>
    <x v="0"/>
    <x v="2"/>
    <x v="1"/>
    <x v="2"/>
    <n v="43"/>
    <x v="0"/>
    <x v="0"/>
    <x v="0"/>
    <x v="0"/>
  </r>
  <r>
    <x v="956"/>
    <x v="0"/>
    <x v="0"/>
    <x v="3"/>
    <x v="5"/>
    <x v="4"/>
    <x v="2"/>
    <x v="0"/>
    <x v="0"/>
    <x v="1"/>
    <x v="2"/>
    <n v="35"/>
    <x v="0"/>
    <x v="1"/>
    <x v="0"/>
    <x v="1"/>
  </r>
  <r>
    <x v="957"/>
    <x v="0"/>
    <x v="0"/>
    <x v="10"/>
    <x v="3"/>
    <x v="1"/>
    <x v="2"/>
    <x v="0"/>
    <x v="2"/>
    <x v="2"/>
    <x v="2"/>
    <n v="30"/>
    <x v="2"/>
    <x v="0"/>
    <x v="0"/>
    <x v="0"/>
  </r>
  <r>
    <x v="958"/>
    <x v="0"/>
    <x v="1"/>
    <x v="8"/>
    <x v="2"/>
    <x v="4"/>
    <x v="2"/>
    <x v="0"/>
    <x v="0"/>
    <x v="0"/>
    <x v="2"/>
    <n v="47"/>
    <x v="0"/>
    <x v="1"/>
    <x v="1"/>
    <x v="1"/>
  </r>
  <r>
    <x v="959"/>
    <x v="0"/>
    <x v="1"/>
    <x v="10"/>
    <x v="0"/>
    <x v="1"/>
    <x v="0"/>
    <x v="0"/>
    <x v="1"/>
    <x v="1"/>
    <x v="2"/>
    <n v="45"/>
    <x v="0"/>
    <x v="1"/>
    <x v="0"/>
    <x v="1"/>
  </r>
  <r>
    <x v="960"/>
    <x v="1"/>
    <x v="1"/>
    <x v="11"/>
    <x v="3"/>
    <x v="1"/>
    <x v="2"/>
    <x v="1"/>
    <x v="3"/>
    <x v="3"/>
    <x v="2"/>
    <n v="45"/>
    <x v="0"/>
    <x v="0"/>
    <x v="1"/>
    <x v="0"/>
  </r>
  <r>
    <x v="961"/>
    <x v="0"/>
    <x v="0"/>
    <x v="7"/>
    <x v="4"/>
    <x v="0"/>
    <x v="4"/>
    <x v="0"/>
    <x v="4"/>
    <x v="2"/>
    <x v="2"/>
    <n v="62"/>
    <x v="1"/>
    <x v="0"/>
    <x v="1"/>
    <x v="0"/>
  </r>
  <r>
    <x v="962"/>
    <x v="0"/>
    <x v="1"/>
    <x v="10"/>
    <x v="4"/>
    <x v="1"/>
    <x v="2"/>
    <x v="0"/>
    <x v="2"/>
    <x v="4"/>
    <x v="2"/>
    <n v="55"/>
    <x v="1"/>
    <x v="0"/>
    <x v="0"/>
    <x v="0"/>
  </r>
  <r>
    <x v="963"/>
    <x v="0"/>
    <x v="0"/>
    <x v="8"/>
    <x v="2"/>
    <x v="0"/>
    <x v="4"/>
    <x v="0"/>
    <x v="2"/>
    <x v="3"/>
    <x v="2"/>
    <n v="66"/>
    <x v="1"/>
    <x v="1"/>
    <x v="1"/>
    <x v="1"/>
  </r>
  <r>
    <x v="964"/>
    <x v="1"/>
    <x v="1"/>
    <x v="3"/>
    <x v="5"/>
    <x v="1"/>
    <x v="2"/>
    <x v="0"/>
    <x v="1"/>
    <x v="4"/>
    <x v="2"/>
    <n v="56"/>
    <x v="1"/>
    <x v="0"/>
    <x v="0"/>
    <x v="0"/>
  </r>
  <r>
    <x v="965"/>
    <x v="1"/>
    <x v="0"/>
    <x v="14"/>
    <x v="1"/>
    <x v="0"/>
    <x v="0"/>
    <x v="1"/>
    <x v="1"/>
    <x v="0"/>
    <x v="2"/>
    <n v="40"/>
    <x v="0"/>
    <x v="0"/>
    <x v="0"/>
    <x v="0"/>
  </r>
  <r>
    <x v="966"/>
    <x v="0"/>
    <x v="0"/>
    <x v="14"/>
    <x v="3"/>
    <x v="4"/>
    <x v="0"/>
    <x v="0"/>
    <x v="0"/>
    <x v="3"/>
    <x v="2"/>
    <n v="33"/>
    <x v="0"/>
    <x v="1"/>
    <x v="0"/>
    <x v="1"/>
  </r>
  <r>
    <x v="967"/>
    <x v="0"/>
    <x v="1"/>
    <x v="2"/>
    <x v="1"/>
    <x v="0"/>
    <x v="4"/>
    <x v="0"/>
    <x v="1"/>
    <x v="3"/>
    <x v="2"/>
    <n v="56"/>
    <x v="1"/>
    <x v="0"/>
    <x v="1"/>
    <x v="0"/>
  </r>
  <r>
    <x v="968"/>
    <x v="1"/>
    <x v="1"/>
    <x v="1"/>
    <x v="3"/>
    <x v="3"/>
    <x v="1"/>
    <x v="1"/>
    <x v="2"/>
    <x v="2"/>
    <x v="2"/>
    <n v="27"/>
    <x v="2"/>
    <x v="0"/>
    <x v="0"/>
    <x v="0"/>
  </r>
  <r>
    <x v="969"/>
    <x v="0"/>
    <x v="1"/>
    <x v="10"/>
    <x v="3"/>
    <x v="4"/>
    <x v="2"/>
    <x v="1"/>
    <x v="0"/>
    <x v="0"/>
    <x v="2"/>
    <n v="39"/>
    <x v="0"/>
    <x v="0"/>
    <x v="0"/>
    <x v="0"/>
  </r>
  <r>
    <x v="970"/>
    <x v="0"/>
    <x v="0"/>
    <x v="10"/>
    <x v="3"/>
    <x v="1"/>
    <x v="0"/>
    <x v="0"/>
    <x v="2"/>
    <x v="2"/>
    <x v="2"/>
    <n v="31"/>
    <x v="0"/>
    <x v="0"/>
    <x v="0"/>
    <x v="0"/>
  </r>
  <r>
    <x v="971"/>
    <x v="1"/>
    <x v="0"/>
    <x v="10"/>
    <x v="4"/>
    <x v="3"/>
    <x v="0"/>
    <x v="1"/>
    <x v="2"/>
    <x v="3"/>
    <x v="2"/>
    <n v="51"/>
    <x v="1"/>
    <x v="0"/>
    <x v="0"/>
    <x v="0"/>
  </r>
  <r>
    <x v="972"/>
    <x v="0"/>
    <x v="0"/>
    <x v="1"/>
    <x v="0"/>
    <x v="2"/>
    <x v="1"/>
    <x v="0"/>
    <x v="1"/>
    <x v="2"/>
    <x v="2"/>
    <n v="52"/>
    <x v="1"/>
    <x v="0"/>
    <x v="0"/>
    <x v="0"/>
  </r>
  <r>
    <x v="973"/>
    <x v="0"/>
    <x v="1"/>
    <x v="10"/>
    <x v="0"/>
    <x v="1"/>
    <x v="0"/>
    <x v="1"/>
    <x v="1"/>
    <x v="0"/>
    <x v="2"/>
    <n v="47"/>
    <x v="0"/>
    <x v="0"/>
    <x v="0"/>
    <x v="0"/>
  </r>
  <r>
    <x v="974"/>
    <x v="0"/>
    <x v="1"/>
    <x v="3"/>
    <x v="1"/>
    <x v="4"/>
    <x v="4"/>
    <x v="0"/>
    <x v="2"/>
    <x v="2"/>
    <x v="2"/>
    <n v="53"/>
    <x v="1"/>
    <x v="1"/>
    <x v="0"/>
    <x v="1"/>
  </r>
  <r>
    <x v="975"/>
    <x v="0"/>
    <x v="1"/>
    <x v="3"/>
    <x v="1"/>
    <x v="4"/>
    <x v="2"/>
    <x v="0"/>
    <x v="0"/>
    <x v="0"/>
    <x v="2"/>
    <n v="35"/>
    <x v="0"/>
    <x v="1"/>
    <x v="0"/>
    <x v="1"/>
  </r>
  <r>
    <x v="976"/>
    <x v="0"/>
    <x v="0"/>
    <x v="10"/>
    <x v="1"/>
    <x v="0"/>
    <x v="4"/>
    <x v="0"/>
    <x v="2"/>
    <x v="4"/>
    <x v="2"/>
    <n v="66"/>
    <x v="1"/>
    <x v="0"/>
    <x v="0"/>
    <x v="0"/>
  </r>
  <r>
    <x v="977"/>
    <x v="1"/>
    <x v="0"/>
    <x v="2"/>
    <x v="5"/>
    <x v="4"/>
    <x v="4"/>
    <x v="0"/>
    <x v="2"/>
    <x v="2"/>
    <x v="2"/>
    <n v="65"/>
    <x v="1"/>
    <x v="0"/>
    <x v="1"/>
    <x v="0"/>
  </r>
  <r>
    <x v="978"/>
    <x v="0"/>
    <x v="1"/>
    <x v="2"/>
    <x v="2"/>
    <x v="1"/>
    <x v="2"/>
    <x v="0"/>
    <x v="4"/>
    <x v="2"/>
    <x v="2"/>
    <n v="45"/>
    <x v="0"/>
    <x v="0"/>
    <x v="1"/>
    <x v="0"/>
  </r>
  <r>
    <x v="979"/>
    <x v="1"/>
    <x v="1"/>
    <x v="0"/>
    <x v="3"/>
    <x v="2"/>
    <x v="0"/>
    <x v="0"/>
    <x v="1"/>
    <x v="2"/>
    <x v="2"/>
    <n v="31"/>
    <x v="0"/>
    <x v="0"/>
    <x v="0"/>
    <x v="0"/>
  </r>
  <r>
    <x v="980"/>
    <x v="1"/>
    <x v="0"/>
    <x v="2"/>
    <x v="1"/>
    <x v="0"/>
    <x v="0"/>
    <x v="0"/>
    <x v="4"/>
    <x v="4"/>
    <x v="2"/>
    <n v="40"/>
    <x v="0"/>
    <x v="1"/>
    <x v="1"/>
    <x v="1"/>
  </r>
  <r>
    <x v="981"/>
    <x v="0"/>
    <x v="1"/>
    <x v="15"/>
    <x v="2"/>
    <x v="1"/>
    <x v="2"/>
    <x v="0"/>
    <x v="3"/>
    <x v="1"/>
    <x v="2"/>
    <n v="46"/>
    <x v="0"/>
    <x v="0"/>
    <x v="1"/>
    <x v="0"/>
  </r>
  <r>
    <x v="982"/>
    <x v="1"/>
    <x v="1"/>
    <x v="0"/>
    <x v="4"/>
    <x v="1"/>
    <x v="1"/>
    <x v="1"/>
    <x v="1"/>
    <x v="3"/>
    <x v="2"/>
    <n v="47"/>
    <x v="0"/>
    <x v="1"/>
    <x v="0"/>
    <x v="1"/>
  </r>
  <r>
    <x v="983"/>
    <x v="0"/>
    <x v="1"/>
    <x v="12"/>
    <x v="4"/>
    <x v="4"/>
    <x v="4"/>
    <x v="0"/>
    <x v="2"/>
    <x v="0"/>
    <x v="2"/>
    <n v="41"/>
    <x v="0"/>
    <x v="0"/>
    <x v="2"/>
    <x v="0"/>
  </r>
  <r>
    <x v="984"/>
    <x v="0"/>
    <x v="1"/>
    <x v="10"/>
    <x v="4"/>
    <x v="2"/>
    <x v="2"/>
    <x v="1"/>
    <x v="2"/>
    <x v="3"/>
    <x v="2"/>
    <n v="48"/>
    <x v="0"/>
    <x v="1"/>
    <x v="0"/>
    <x v="1"/>
  </r>
  <r>
    <x v="985"/>
    <x v="1"/>
    <x v="0"/>
    <x v="14"/>
    <x v="5"/>
    <x v="0"/>
    <x v="0"/>
    <x v="0"/>
    <x v="2"/>
    <x v="0"/>
    <x v="2"/>
    <n v="42"/>
    <x v="0"/>
    <x v="0"/>
    <x v="0"/>
    <x v="0"/>
  </r>
  <r>
    <x v="986"/>
    <x v="1"/>
    <x v="1"/>
    <x v="0"/>
    <x v="2"/>
    <x v="2"/>
    <x v="2"/>
    <x v="0"/>
    <x v="3"/>
    <x v="4"/>
    <x v="2"/>
    <n v="60"/>
    <x v="1"/>
    <x v="1"/>
    <x v="0"/>
    <x v="1"/>
  </r>
  <r>
    <x v="987"/>
    <x v="1"/>
    <x v="0"/>
    <x v="10"/>
    <x v="1"/>
    <x v="4"/>
    <x v="4"/>
    <x v="0"/>
    <x v="2"/>
    <x v="4"/>
    <x v="2"/>
    <n v="66"/>
    <x v="1"/>
    <x v="0"/>
    <x v="0"/>
    <x v="0"/>
  </r>
  <r>
    <x v="988"/>
    <x v="0"/>
    <x v="1"/>
    <x v="3"/>
    <x v="2"/>
    <x v="0"/>
    <x v="4"/>
    <x v="0"/>
    <x v="2"/>
    <x v="4"/>
    <x v="2"/>
    <n v="63"/>
    <x v="1"/>
    <x v="0"/>
    <x v="0"/>
    <x v="0"/>
  </r>
  <r>
    <x v="989"/>
    <x v="0"/>
    <x v="1"/>
    <x v="10"/>
    <x v="5"/>
    <x v="0"/>
    <x v="0"/>
    <x v="1"/>
    <x v="4"/>
    <x v="4"/>
    <x v="2"/>
    <n v="42"/>
    <x v="0"/>
    <x v="0"/>
    <x v="0"/>
    <x v="0"/>
  </r>
  <r>
    <x v="990"/>
    <x v="1"/>
    <x v="0"/>
    <x v="1"/>
    <x v="3"/>
    <x v="2"/>
    <x v="0"/>
    <x v="1"/>
    <x v="2"/>
    <x v="2"/>
    <x v="2"/>
    <n v="26"/>
    <x v="2"/>
    <x v="0"/>
    <x v="0"/>
    <x v="0"/>
  </r>
  <r>
    <x v="991"/>
    <x v="1"/>
    <x v="0"/>
    <x v="10"/>
    <x v="0"/>
    <x v="4"/>
    <x v="2"/>
    <x v="0"/>
    <x v="0"/>
    <x v="1"/>
    <x v="2"/>
    <n v="36"/>
    <x v="0"/>
    <x v="1"/>
    <x v="0"/>
    <x v="1"/>
  </r>
  <r>
    <x v="992"/>
    <x v="0"/>
    <x v="1"/>
    <x v="8"/>
    <x v="4"/>
    <x v="1"/>
    <x v="2"/>
    <x v="1"/>
    <x v="0"/>
    <x v="2"/>
    <x v="2"/>
    <n v="49"/>
    <x v="0"/>
    <x v="1"/>
    <x v="1"/>
    <x v="1"/>
  </r>
  <r>
    <x v="993"/>
    <x v="1"/>
    <x v="1"/>
    <x v="13"/>
    <x v="0"/>
    <x v="1"/>
    <x v="2"/>
    <x v="1"/>
    <x v="4"/>
    <x v="0"/>
    <x v="2"/>
    <n v="44"/>
    <x v="0"/>
    <x v="1"/>
    <x v="2"/>
    <x v="1"/>
  </r>
  <r>
    <x v="994"/>
    <x v="0"/>
    <x v="1"/>
    <x v="2"/>
    <x v="2"/>
    <x v="1"/>
    <x v="2"/>
    <x v="0"/>
    <x v="4"/>
    <x v="3"/>
    <x v="2"/>
    <n v="46"/>
    <x v="0"/>
    <x v="0"/>
    <x v="1"/>
    <x v="0"/>
  </r>
  <r>
    <x v="995"/>
    <x v="0"/>
    <x v="1"/>
    <x v="10"/>
    <x v="4"/>
    <x v="2"/>
    <x v="2"/>
    <x v="0"/>
    <x v="2"/>
    <x v="1"/>
    <x v="2"/>
    <n v="54"/>
    <x v="1"/>
    <x v="1"/>
    <x v="0"/>
    <x v="1"/>
  </r>
  <r>
    <x v="996"/>
    <x v="1"/>
    <x v="1"/>
    <x v="3"/>
    <x v="5"/>
    <x v="4"/>
    <x v="2"/>
    <x v="0"/>
    <x v="0"/>
    <x v="1"/>
    <x v="2"/>
    <n v="35"/>
    <x v="0"/>
    <x v="1"/>
    <x v="0"/>
    <x v="1"/>
  </r>
  <r>
    <x v="997"/>
    <x v="0"/>
    <x v="1"/>
    <x v="10"/>
    <x v="4"/>
    <x v="0"/>
    <x v="0"/>
    <x v="0"/>
    <x v="0"/>
    <x v="0"/>
    <x v="2"/>
    <n v="38"/>
    <x v="0"/>
    <x v="1"/>
    <x v="0"/>
    <x v="1"/>
  </r>
  <r>
    <x v="998"/>
    <x v="1"/>
    <x v="1"/>
    <x v="11"/>
    <x v="1"/>
    <x v="0"/>
    <x v="4"/>
    <x v="1"/>
    <x v="4"/>
    <x v="3"/>
    <x v="2"/>
    <n v="38"/>
    <x v="0"/>
    <x v="0"/>
    <x v="1"/>
    <x v="0"/>
  </r>
  <r>
    <x v="999"/>
    <x v="1"/>
    <x v="1"/>
    <x v="10"/>
    <x v="1"/>
    <x v="2"/>
    <x v="2"/>
    <x v="0"/>
    <x v="2"/>
    <x v="4"/>
    <x v="2"/>
    <n v="53"/>
    <x v="1"/>
    <x v="1"/>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487198-2539-43D8-B5B2-07FC47EAC399}" name="PivotTable25" cacheId="1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rowPageCount="1" colPageCount="1"/>
  <pivotFields count="18">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axis="axisPage" dataField="1" multipleItemSelectionAllowed="1" showAll="0">
      <items count="3">
        <item h="1" x="0"/>
        <item x="1"/>
        <item t="default"/>
      </items>
    </pivotField>
    <pivotField showAll="0"/>
    <pivotField showAll="0"/>
    <pivotField dragToRow="0" dragToCol="0" dragToPage="0" showAll="0" defaultSubtotal="0"/>
    <pivotField dragToRow="0" dragToCol="0" dragToPage="0" showAll="0" defaultSubtotal="0"/>
  </pivotFields>
  <rowItems count="1">
    <i/>
  </rowItems>
  <colItems count="1">
    <i/>
  </colItems>
  <pageFields count="1">
    <pageField fld="13" hier="-1"/>
  </pageField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525759-5214-4205-945C-DF8718ADED14}" name="PivotTable26" cacheId="1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J6" firstHeaderRow="1" firstDataRow="2" firstDataCol="1"/>
  <pivotFields count="18">
    <pivotField dataField="1" showAll="0"/>
    <pivotField showAll="0"/>
    <pivotField showAll="0"/>
    <pivotField numFmtId="164"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dragToRow="0" dragToCol="0" dragToPage="0" showAll="0" defaultSubtotal="0"/>
    <pivotField dragToRow="0" dragToCol="0" dragToPage="0" showAll="0" defaultSubtotal="0"/>
  </pivotFields>
  <rowItems count="1">
    <i/>
  </rowItems>
  <colFields count="1">
    <field x="13"/>
  </colFields>
  <colItems count="3">
    <i>
      <x/>
    </i>
    <i>
      <x v="1"/>
    </i>
    <i t="grand">
      <x/>
    </i>
  </colItems>
  <dataFields count="1">
    <dataField name="Count of ID" fld="0" subtotal="count" showDataAs="percentOfRow" baseField="12"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63BF71-7A1A-4E26-9E55-EC226CFAA48F}" name="PivotTable5" cacheId="1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I138:J144" firstHeaderRow="1" firstDataRow="1" firstDataCol="1"/>
  <pivotFields count="18">
    <pivotField showAll="0"/>
    <pivotField showAll="0"/>
    <pivotField showAll="0"/>
    <pivotField numFmtId="165" showAll="0"/>
    <pivotField showAll="0"/>
    <pivotField axis="axisRow" showAll="0">
      <items count="6">
        <item x="0"/>
        <item x="4"/>
        <item x="2"/>
        <item x="1"/>
        <item x="3"/>
        <item t="default"/>
      </items>
    </pivotField>
    <pivotField showAll="0"/>
    <pivotField showAll="0"/>
    <pivotField showAll="0"/>
    <pivotField showAll="0">
      <items count="6">
        <item x="0"/>
        <item x="4"/>
        <item x="3"/>
        <item x="1"/>
        <item x="2"/>
        <item t="default"/>
      </items>
    </pivotField>
    <pivotField showAll="0"/>
    <pivotField showAll="0"/>
    <pivotField showAll="0"/>
    <pivotField multipleItemSelectionAllowed="1" showAll="0"/>
    <pivotField showAll="0"/>
    <pivotField dataField="1" showAll="0"/>
    <pivotField dragToRow="0" dragToCol="0" dragToPage="0" showAll="0" defaultSubtotal="0"/>
    <pivotField dragToRow="0" dragToCol="0" dragToPage="0" showAll="0" defaultSubtotal="0"/>
  </pivotFields>
  <rowFields count="1">
    <field x="5"/>
  </rowFields>
  <rowItems count="6">
    <i>
      <x/>
    </i>
    <i>
      <x v="1"/>
    </i>
    <i>
      <x v="2"/>
    </i>
    <i>
      <x v="3"/>
    </i>
    <i>
      <x v="4"/>
    </i>
    <i t="grand">
      <x/>
    </i>
  </rowItems>
  <colItems count="1">
    <i/>
  </colItems>
  <dataFields count="1">
    <dataField name="Coversion Rate" fld="15" subtotal="average" baseField="2" baseItem="0" numFmtId="9"/>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A7E300-3F67-45DC-9C77-055424120D6E}" name="PivotTable17" cacheId="1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3:D70" firstHeaderRow="1" firstDataRow="2" firstDataCol="1"/>
  <pivotFields count="18">
    <pivotField showAll="0"/>
    <pivotField showAll="0"/>
    <pivotField showAll="0"/>
    <pivotField numFmtId="165" showAll="0"/>
    <pivotField showAll="0"/>
    <pivotField showAll="0"/>
    <pivotField showAll="0"/>
    <pivotField showAll="0"/>
    <pivotField showAll="0"/>
    <pivotField axis="axisRow" showAll="0">
      <items count="6">
        <item x="0"/>
        <item x="4"/>
        <item x="3"/>
        <item x="1"/>
        <item x="2"/>
        <item t="default"/>
      </items>
    </pivotField>
    <pivotField showAll="0"/>
    <pivotField showAll="0"/>
    <pivotField showAll="0"/>
    <pivotField axis="axisCol" dataField="1" showAll="0">
      <items count="3">
        <item x="0"/>
        <item x="1"/>
        <item t="default"/>
      </items>
    </pivotField>
    <pivotField showAll="0"/>
    <pivotField showAll="0"/>
    <pivotField dragToRow="0" dragToCol="0" dragToPage="0" showAll="0" defaultSubtotal="0"/>
    <pivotField dragToRow="0" dragToCol="0" dragToPage="0" showAll="0" defaultSubtotal="0"/>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3">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9" count="1" selected="0">
            <x v="2"/>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614E9F-194A-45BA-A621-30AEC78F7C96}" name="PivotTable8" cacheId="1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I154:L159" firstHeaderRow="1" firstDataRow="2" firstDataCol="1"/>
  <pivotFields count="18">
    <pivotField showAll="0"/>
    <pivotField showAll="0">
      <items count="3">
        <item x="0"/>
        <item x="1"/>
        <item t="default"/>
      </items>
    </pivotField>
    <pivotField axis="axisCol" showAll="0">
      <items count="3">
        <item x="0"/>
        <item x="1"/>
        <item t="default"/>
      </items>
    </pivotField>
    <pivotField numFmtId="165" showAll="0">
      <items count="17">
        <item x="4"/>
        <item x="6"/>
        <item x="1"/>
        <item x="0"/>
        <item x="14"/>
        <item x="10"/>
        <item x="3"/>
        <item x="2"/>
        <item x="8"/>
        <item x="11"/>
        <item x="15"/>
        <item x="7"/>
        <item x="12"/>
        <item x="13"/>
        <item x="5"/>
        <item x="9"/>
        <item t="default"/>
      </items>
    </pivotField>
    <pivotField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pivotField showAll="0">
      <items count="4">
        <item x="0"/>
        <item x="2"/>
        <item x="1"/>
        <item t="default"/>
      </items>
    </pivotField>
    <pivotField showAll="0"/>
    <pivotField axis="axisRow" showAll="0">
      <items count="4">
        <item x="0"/>
        <item x="1"/>
        <item x="2"/>
        <item t="default"/>
      </items>
    </pivotField>
    <pivotField multipleItemSelectionAllowed="1" showAll="0">
      <items count="3">
        <item x="0"/>
        <item x="1"/>
        <item t="default"/>
      </items>
    </pivotField>
    <pivotField showAll="0">
      <items count="4">
        <item x="1"/>
        <item x="2"/>
        <item x="0"/>
        <item t="default"/>
      </items>
    </pivotField>
    <pivotField dataField="1" showAll="0"/>
    <pivotField dragToRow="0" dragToCol="0" dragToPage="0" showAll="0" defaultSubtotal="0"/>
    <pivotField dragToRow="0" dragToCol="0" dragToPage="0" showAll="0" defaultSubtotal="0"/>
  </pivotFields>
  <rowFields count="1">
    <field x="12"/>
  </rowFields>
  <rowItems count="4">
    <i>
      <x/>
    </i>
    <i>
      <x v="1"/>
    </i>
    <i>
      <x v="2"/>
    </i>
    <i t="grand">
      <x/>
    </i>
  </rowItems>
  <colFields count="1">
    <field x="2"/>
  </colFields>
  <colItems count="3">
    <i>
      <x/>
    </i>
    <i>
      <x v="1"/>
    </i>
    <i t="grand">
      <x/>
    </i>
  </colItems>
  <dataFields count="1">
    <dataField name="Coversion Rate" fld="15" subtotal="average" baseField="2" baseItem="0" numFmtId="9"/>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6FF035-F336-41A1-A2D9-ED0D7F7BE378}" name="PivotTable7" cacheId="1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dataField="1"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Items count="1">
    <i/>
  </rowItems>
  <colItems count="1">
    <i/>
  </colItems>
  <dataFields count="1">
    <dataField name="Count of ID"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919A56-B731-4CD5-B94C-24AB5795A431}" name="KPI_Conversion" cacheId="15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I162:I163" firstHeaderRow="1" firstDataRow="1" firstDataCol="0"/>
  <pivotFields count="18">
    <pivotField showAll="0" defaultSubtotal="0"/>
    <pivotField showAll="0" defaultSubtotal="0"/>
    <pivotField showAll="0" defaultSubtotal="0">
      <items count="2">
        <item x="0"/>
        <item x="1"/>
      </items>
    </pivotField>
    <pivotField numFmtId="165" showAll="0" defaultSubtotal="0"/>
    <pivotField showAll="0" defaultSubtotal="0">
      <items count="6">
        <item x="3"/>
        <item x="0"/>
        <item x="4"/>
        <item x="1"/>
        <item x="5"/>
        <item x="2"/>
      </items>
    </pivotField>
    <pivotField showAll="0" defaultSubtotal="0">
      <items count="5">
        <item x="0"/>
        <item x="4"/>
        <item x="2"/>
        <item x="1"/>
        <item x="3"/>
      </items>
    </pivotField>
    <pivotField showAll="0" defaultSubtotal="0"/>
    <pivotField showAll="0" defaultSubtotal="0"/>
    <pivotField showAll="0" defaultSubtotal="0"/>
    <pivotField showAll="0" defaultSubtotal="0"/>
    <pivotField showAll="0" defaultSubtotal="0">
      <items count="3">
        <item x="0"/>
        <item x="2"/>
        <item x="1"/>
      </items>
    </pivotField>
    <pivotField showAll="0" defaultSubtotal="0"/>
    <pivotField showAll="0" defaultSubtotal="0">
      <items count="3">
        <item x="0"/>
        <item x="1"/>
        <item x="2"/>
      </items>
    </pivotField>
    <pivotField showAll="0" defaultSubtotal="0">
      <items count="2">
        <item x="0"/>
        <item x="1"/>
      </items>
    </pivotField>
    <pivotField showAll="0" defaultSubtotal="0">
      <items count="3">
        <item x="1"/>
        <item x="2"/>
        <item x="0"/>
      </items>
    </pivotField>
    <pivotField dataField="1" showAll="0" defaultSubtotal="0"/>
    <pivotField dragToRow="0" dragToCol="0" dragToPage="0" showAll="0" defaultSubtotal="0"/>
    <pivotField dragToRow="0" dragToCol="0" dragToPage="0" showAll="0" defaultSubtotal="0"/>
  </pivotFields>
  <rowItems count="1">
    <i/>
  </rowItems>
  <colItems count="1">
    <i/>
  </colItems>
  <dataFields count="1">
    <dataField name="Predictive Conversion Rate" fld="15" subtotal="average" baseField="0" baseItem="0" numFmtId="10"/>
  </dataFields>
  <formats count="5">
    <format dxfId="10">
      <pivotArea outline="0" collapsedLevelsAreSubtotals="1" fieldPosition="0"/>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dataOnly="0" labelOnly="1" outline="0" axis="axisValues" fieldPosition="0"/>
    </format>
  </formats>
  <pivotTableStyleInfo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BAFDA3F-59A6-47F3-A092-10F2E9F256A3}" name="PivotTable22" cacheId="1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I118:J121" firstHeaderRow="1" firstDataRow="1" firstDataCol="1"/>
  <pivotFields count="18">
    <pivotField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axis="axisRow" showAll="0">
      <items count="3">
        <item x="0"/>
        <item x="1"/>
        <item t="default"/>
      </items>
    </pivotField>
    <pivotField numFmtId="165" showAll="0">
      <items count="17">
        <item x="4"/>
        <item x="6"/>
        <item x="1"/>
        <item x="0"/>
        <item x="14"/>
        <item x="10"/>
        <item x="3"/>
        <item x="2"/>
        <item x="8"/>
        <item x="11"/>
        <item x="15"/>
        <item x="7"/>
        <item x="12"/>
        <item x="13"/>
        <item x="5"/>
        <item x="9"/>
        <item t="default"/>
      </items>
    </pivotField>
    <pivotField showAll="0"/>
    <pivotField showAll="0"/>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items count="6">
        <item x="0"/>
        <item x="4"/>
        <item x="3"/>
        <item x="1"/>
        <item x="2"/>
        <item t="default"/>
      </items>
    </pivotField>
    <pivotField showAll="0">
      <items count="4">
        <item x="0"/>
        <item x="2"/>
        <item x="1"/>
        <item t="default"/>
      </items>
    </pivotField>
    <pivotField showAll="0"/>
    <pivotField showAll="0"/>
    <pivotField multipleItemSelectionAllowed="1" showAll="0">
      <items count="3">
        <item x="0"/>
        <item x="1"/>
        <item t="default"/>
      </items>
    </pivotField>
    <pivotField showAll="0">
      <items count="4">
        <item x="1"/>
        <item x="2"/>
        <item x="0"/>
        <item t="default"/>
      </items>
    </pivotField>
    <pivotField dataField="1" showAll="0">
      <items count="3">
        <item x="0"/>
        <item h="1" x="1"/>
        <item t="default"/>
      </items>
    </pivotField>
    <pivotField dragToRow="0" dragToCol="0" dragToPage="0" showAll="0" defaultSubtotal="0"/>
    <pivotField dragToRow="0" dragToCol="0" dragToPage="0" showAll="0" defaultSubtotal="0"/>
  </pivotFields>
  <rowFields count="1">
    <field x="2"/>
  </rowFields>
  <rowItems count="3">
    <i>
      <x/>
    </i>
    <i>
      <x v="1"/>
    </i>
    <i t="grand">
      <x/>
    </i>
  </rowItems>
  <colItems count="1">
    <i/>
  </colItems>
  <dataFields count="1">
    <dataField name="Coversion Rate" fld="15" subtotal="average" baseField="2" baseItem="0" numFmtId="9"/>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58CB24-7284-49AB-B6B9-3778670A8DA7}" name="PivotTable4" cacheId="1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I131:J135" firstHeaderRow="1" firstDataRow="1" firstDataCol="1"/>
  <pivotFields count="18">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multipleItemSelectionAllowed="1" showAll="0"/>
    <pivotField axis="axisRow" showAll="0">
      <items count="4">
        <item x="1"/>
        <item x="2"/>
        <item x="0"/>
        <item t="default"/>
      </items>
    </pivotField>
    <pivotField dataField="1" showAll="0"/>
    <pivotField dragToRow="0" dragToCol="0" dragToPage="0" showAll="0" defaultSubtotal="0"/>
    <pivotField dragToRow="0" dragToCol="0" dragToPage="0" showAll="0" defaultSubtotal="0"/>
  </pivotFields>
  <rowFields count="1">
    <field x="14"/>
  </rowFields>
  <rowItems count="4">
    <i>
      <x/>
    </i>
    <i>
      <x v="1"/>
    </i>
    <i>
      <x v="2"/>
    </i>
    <i t="grand">
      <x/>
    </i>
  </rowItems>
  <colItems count="1">
    <i/>
  </colItems>
  <dataFields count="1">
    <dataField name="Coversion Rate" fld="15" subtotal="average" baseField="2" baseItem="0" numFmtId="9"/>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A3B3351-C6EC-4BDC-95F8-425059A83438}" name="PivotTable6" cacheId="1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I147:J151" firstHeaderRow="1" firstDataRow="1" firstDataCol="1"/>
  <pivotFields count="18">
    <pivotField showAll="0"/>
    <pivotField showAll="0"/>
    <pivotField showAll="0"/>
    <pivotField numFmtId="165"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multipleItemSelectionAllowed="1" showAll="0"/>
    <pivotField showAll="0"/>
    <pivotField dataField="1" showAll="0"/>
    <pivotField dragToRow="0" dragToCol="0" dragToPage="0" showAll="0" defaultSubtotal="0"/>
    <pivotField dragToRow="0" dragToCol="0" dragToPage="0" showAll="0" defaultSubtotal="0"/>
  </pivotFields>
  <rowFields count="1">
    <field x="10"/>
  </rowFields>
  <rowItems count="4">
    <i>
      <x/>
    </i>
    <i>
      <x v="1"/>
    </i>
    <i>
      <x v="2"/>
    </i>
    <i t="grand">
      <x/>
    </i>
  </rowItems>
  <colItems count="1">
    <i/>
  </colItems>
  <dataFields count="1">
    <dataField name="Coversion Rate" fld="15" subtotal="average" baseField="2" baseItem="0" numFmtId="9"/>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12BE17F-DE9D-497C-B25E-BE90E9DBF14F}" name="PivotTable23" cacheId="1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N118:Q122" firstHeaderRow="1" firstDataRow="2" firstDataCol="1" rowPageCount="4" colPageCount="1"/>
  <pivotFields count="18">
    <pivotField showAll="0"/>
    <pivotField axis="axisPage" multipleItemSelectionAllowed="1" showAll="0">
      <items count="3">
        <item x="0"/>
        <item x="1"/>
        <item t="default"/>
      </items>
    </pivotField>
    <pivotField axis="axisRow" showAll="0">
      <items count="3">
        <item x="0"/>
        <item x="1"/>
        <item t="default"/>
      </items>
    </pivotField>
    <pivotField numFmtId="165" showAll="0"/>
    <pivotField showAll="0"/>
    <pivotField showAll="0"/>
    <pivotField showAll="0"/>
    <pivotField showAll="0"/>
    <pivotField showAll="0"/>
    <pivotField showAll="0"/>
    <pivotField axis="axisPage" multipleItemSelectionAllowed="1" showAll="0">
      <items count="4">
        <item x="0"/>
        <item x="2"/>
        <item x="1"/>
        <item t="default"/>
      </items>
    </pivotField>
    <pivotField showAll="0"/>
    <pivotField axis="axisPage" multipleItemSelectionAllowed="1" showAll="0">
      <items count="4">
        <item x="0"/>
        <item x="1"/>
        <item x="2"/>
        <item t="default"/>
      </items>
    </pivotField>
    <pivotField axis="axisCol" dataField="1" showAll="0">
      <items count="3">
        <item x="0"/>
        <item x="1"/>
        <item t="default"/>
      </items>
    </pivotField>
    <pivotField axis="axisPage" multipleItemSelectionAllowed="1" showAll="0">
      <items count="4">
        <item x="1"/>
        <item x="2"/>
        <item x="0"/>
        <item t="default"/>
      </items>
    </pivotField>
    <pivotField showAll="0"/>
    <pivotField dragToRow="0" dragToCol="0" dragToPage="0" showAll="0" defaultSubtotal="0"/>
    <pivotField dragToRow="0" dragToCol="0" dragToPage="0" showAll="0" defaultSubtotal="0"/>
  </pivotFields>
  <rowFields count="1">
    <field x="2"/>
  </rowFields>
  <rowItems count="3">
    <i>
      <x/>
    </i>
    <i>
      <x v="1"/>
    </i>
    <i t="grand">
      <x/>
    </i>
  </rowItems>
  <colFields count="1">
    <field x="13"/>
  </colFields>
  <colItems count="3">
    <i>
      <x/>
    </i>
    <i>
      <x v="1"/>
    </i>
    <i t="grand">
      <x/>
    </i>
  </colItems>
  <pageFields count="4">
    <pageField fld="10" hier="-1"/>
    <pageField fld="14" hier="-1"/>
    <pageField fld="12" hier="-1"/>
    <pageField fld="1" hier="-1"/>
  </pageField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4AD20D8-36F7-478A-9395-71DA7C995337}" name="PivotTable14" cacheId="1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6:D41" firstHeaderRow="1" firstDataRow="2" firstDataCol="1"/>
  <pivotFields count="18">
    <pivotField showAll="0"/>
    <pivotField showAll="0"/>
    <pivotField showAll="0">
      <items count="3">
        <item x="0"/>
        <item x="1"/>
        <item t="default"/>
      </items>
    </pivotField>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items count="4">
        <item x="0"/>
        <item x="1"/>
        <item x="2"/>
        <item t="default"/>
      </items>
    </pivotField>
    <pivotField axis="axisCol" dataField="1" showAll="0">
      <items count="3">
        <item x="0"/>
        <item x="1"/>
        <item t="default"/>
      </items>
    </pivotField>
    <pivotField axis="axisRow" showAll="0">
      <items count="4">
        <item x="1"/>
        <item x="2"/>
        <item x="0"/>
        <item t="default"/>
      </items>
    </pivotField>
    <pivotField showAll="0"/>
    <pivotField dragToRow="0" dragToCol="0" dragToPage="0" showAll="0" defaultSubtotal="0"/>
    <pivotField dragToRow="0" dragToCol="0" dragToPage="0" showAll="0" defaultSubtotal="0"/>
  </pivotFields>
  <rowFields count="1">
    <field x="14"/>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13" count="1" selected="0">
            <x v="1"/>
          </reference>
          <reference field="14" count="1" selected="0">
            <x v="1"/>
          </reference>
        </references>
      </pivotArea>
    </chartFormat>
    <chartFormat chart="0" format="3">
      <pivotArea type="data" outline="0" fieldPosition="0">
        <references count="3">
          <reference field="4294967294" count="1" selected="0">
            <x v="0"/>
          </reference>
          <reference field="13" count="1" selected="0">
            <x v="0"/>
          </reference>
          <reference field="14" count="1" selected="0">
            <x v="1"/>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pivotArea type="data" outline="0" fieldPosition="0">
        <references count="3">
          <reference field="4294967294" count="1" selected="0">
            <x v="0"/>
          </reference>
          <reference field="13" count="1" selected="0">
            <x v="0"/>
          </reference>
          <reference field="14" count="1" selected="0">
            <x v="1"/>
          </reference>
        </references>
      </pivotArea>
    </chartFormat>
    <chartFormat chart="5" format="10" series="1">
      <pivotArea type="data" outline="0" fieldPosition="0">
        <references count="2">
          <reference field="4294967294" count="1" selected="0">
            <x v="0"/>
          </reference>
          <reference field="13" count="1" selected="0">
            <x v="1"/>
          </reference>
        </references>
      </pivotArea>
    </chartFormat>
    <chartFormat chart="5" format="11">
      <pivotArea type="data" outline="0" fieldPosition="0">
        <references count="3">
          <reference field="4294967294" count="1" selected="0">
            <x v="0"/>
          </reference>
          <reference field="13" count="1" selected="0">
            <x v="1"/>
          </reference>
          <reference field="14" count="1" selected="0">
            <x v="1"/>
          </reference>
        </references>
      </pivotArea>
    </chartFormat>
    <chartFormat chart="5" format="16">
      <pivotArea type="data" outline="0" fieldPosition="0">
        <references count="3">
          <reference field="4294967294" count="1" selected="0">
            <x v="0"/>
          </reference>
          <reference field="13" count="1" selected="0">
            <x v="0"/>
          </reference>
          <reference field="14" count="1" selected="0">
            <x v="2"/>
          </reference>
        </references>
      </pivotArea>
    </chartFormat>
    <chartFormat chart="5" format="17">
      <pivotArea type="data" outline="0" fieldPosition="0">
        <references count="3">
          <reference field="4294967294" count="1" selected="0">
            <x v="0"/>
          </reference>
          <reference field="13" count="1" selected="0">
            <x v="1"/>
          </reference>
          <reference field="14" count="1" selected="0">
            <x v="2"/>
          </reference>
        </references>
      </pivotArea>
    </chartFormat>
    <chartFormat chart="5" format="18">
      <pivotArea type="data" outline="0" fieldPosition="0">
        <references count="3">
          <reference field="4294967294" count="1" selected="0">
            <x v="0"/>
          </reference>
          <reference field="13" count="1" selected="0">
            <x v="0"/>
          </reference>
          <reference field="14" count="1" selected="0">
            <x v="0"/>
          </reference>
        </references>
      </pivotArea>
    </chartFormat>
    <chartFormat chart="5" format="19">
      <pivotArea type="data" outline="0" fieldPosition="0">
        <references count="3">
          <reference field="4294967294" count="1" selected="0">
            <x v="0"/>
          </reference>
          <reference field="13" count="1" selected="0">
            <x v="1"/>
          </reference>
          <reference field="14" count="1" selected="0">
            <x v="0"/>
          </reference>
        </references>
      </pivotArea>
    </chartFormat>
    <chartFormat chart="5" format="20"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86AE032-69E1-42F8-AA75-98C79B82686F}" name="PivotTable12" cacheId="1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11:J15" firstHeaderRow="1" firstDataRow="2" firstDataCol="1"/>
  <pivotFields count="18">
    <pivotField showAll="0"/>
    <pivotField showAll="0"/>
    <pivotField axis="axisRow" dataField="1" showAll="0">
      <items count="3">
        <item n="Female" x="0"/>
        <item n="Male" x="1"/>
        <item t="default"/>
      </items>
    </pivotField>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items count="4">
        <item x="0"/>
        <item x="1"/>
        <item x="2"/>
        <item t="default"/>
      </items>
    </pivotField>
    <pivotField axis="axisCol" showAll="0">
      <items count="3">
        <item x="0"/>
        <item x="1"/>
        <item t="default"/>
      </items>
    </pivotField>
    <pivotField showAll="0">
      <items count="4">
        <item x="1"/>
        <item x="2"/>
        <item x="0"/>
        <item t="default"/>
      </items>
    </pivotField>
    <pivotField showAll="0"/>
    <pivotField dragToRow="0" dragToCol="0" dragToPage="0" showAll="0" defaultSubtotal="0"/>
    <pivotField dragToRow="0" dragToCol="0" dragToPage="0" showAll="0" defaultSubtotal="0"/>
  </pivotFields>
  <rowFields count="1">
    <field x="2"/>
  </rowFields>
  <rowItems count="3">
    <i>
      <x/>
    </i>
    <i>
      <x v="1"/>
    </i>
    <i t="grand">
      <x/>
    </i>
  </rowItems>
  <colFields count="1">
    <field x="13"/>
  </colFields>
  <colItems count="3">
    <i>
      <x/>
    </i>
    <i>
      <x v="1"/>
    </i>
    <i t="grand">
      <x/>
    </i>
  </colItems>
  <dataFields count="1">
    <dataField name="Count of Gender" fld="2" subtotal="count" baseField="0" baseItem="0"/>
  </dataFields>
  <chartFormats count="6">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5B7764B-6F68-4438-AC27-76681EBCDAD6}" name="PivotTable18" cacheId="1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63:J68" firstHeaderRow="1" firstDataRow="2" firstDataCol="1"/>
  <pivotFields count="18">
    <pivotField showAll="0"/>
    <pivotField showAll="0"/>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axis="axisRow" showAll="0">
      <items count="4">
        <item x="0"/>
        <item x="2"/>
        <item x="1"/>
        <item t="default"/>
      </items>
    </pivotField>
    <pivotField showAll="0"/>
    <pivotField showAll="0">
      <items count="4">
        <item x="0"/>
        <item x="1"/>
        <item x="2"/>
        <item t="default"/>
      </items>
    </pivotField>
    <pivotField axis="axisCol" dataField="1" showAll="0">
      <items count="3">
        <item x="0"/>
        <item x="1"/>
        <item t="default"/>
      </items>
    </pivotField>
    <pivotField showAll="0">
      <items count="4">
        <item x="1"/>
        <item x="2"/>
        <item x="0"/>
        <item t="default"/>
      </items>
    </pivotField>
    <pivotField showAll="0"/>
    <pivotField dragToRow="0" dragToCol="0" dragToPage="0" showAll="0" defaultSubtotal="0"/>
    <pivotField dragToRow="0" dragToCol="0" dragToPage="0" showAll="0" defaultSubtotal="0"/>
  </pivotFields>
  <rowFields count="1">
    <field x="10"/>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10" count="1" selected="0">
            <x v="0"/>
          </reference>
          <reference field="13" count="1" selected="0">
            <x v="0"/>
          </reference>
        </references>
      </pivotArea>
    </chartFormat>
    <chartFormat chart="8" format="11" series="1">
      <pivotArea type="data" outline="0" fieldPosition="0">
        <references count="2">
          <reference field="4294967294" count="1" selected="0">
            <x v="0"/>
          </reference>
          <reference field="13" count="1" selected="0">
            <x v="0"/>
          </reference>
        </references>
      </pivotArea>
    </chartFormat>
    <chartFormat chart="8" format="12">
      <pivotArea type="data" outline="0" fieldPosition="0">
        <references count="3">
          <reference field="4294967294" count="1" selected="0">
            <x v="0"/>
          </reference>
          <reference field="10" count="1" selected="0">
            <x v="0"/>
          </reference>
          <reference field="13" count="1" selected="0">
            <x v="0"/>
          </reference>
        </references>
      </pivotArea>
    </chartFormat>
    <chartFormat chart="8" format="13">
      <pivotArea type="data" outline="0" fieldPosition="0">
        <references count="3">
          <reference field="4294967294" count="1" selected="0">
            <x v="0"/>
          </reference>
          <reference field="10" count="1" selected="0">
            <x v="1"/>
          </reference>
          <reference field="13" count="1" selected="0">
            <x v="0"/>
          </reference>
        </references>
      </pivotArea>
    </chartFormat>
    <chartFormat chart="8" format="14">
      <pivotArea type="data" outline="0" fieldPosition="0">
        <references count="3">
          <reference field="4294967294" count="1" selected="0">
            <x v="0"/>
          </reference>
          <reference field="10" count="1" selected="0">
            <x v="2"/>
          </reference>
          <reference field="13" count="1" selected="0">
            <x v="0"/>
          </reference>
        </references>
      </pivotArea>
    </chartFormat>
    <chartFormat chart="8" format="15" series="1">
      <pivotArea type="data" outline="0" fieldPosition="0">
        <references count="2">
          <reference field="4294967294" count="1" selected="0">
            <x v="0"/>
          </reference>
          <reference field="13" count="1" selected="0">
            <x v="1"/>
          </reference>
        </references>
      </pivotArea>
    </chartFormat>
    <chartFormat chart="8" format="16">
      <pivotArea type="data" outline="0" fieldPosition="0">
        <references count="3">
          <reference field="4294967294" count="1" selected="0">
            <x v="0"/>
          </reference>
          <reference field="10" count="1" selected="0">
            <x v="0"/>
          </reference>
          <reference field="13" count="1" selected="0">
            <x v="1"/>
          </reference>
        </references>
      </pivotArea>
    </chartFormat>
    <chartFormat chart="8" format="17">
      <pivotArea type="data" outline="0" fieldPosition="0">
        <references count="3">
          <reference field="4294967294" count="1" selected="0">
            <x v="0"/>
          </reference>
          <reference field="10" count="1" selected="0">
            <x v="1"/>
          </reference>
          <reference field="13" count="1" selected="0">
            <x v="1"/>
          </reference>
        </references>
      </pivotArea>
    </chartFormat>
    <chartFormat chart="8" format="18">
      <pivotArea type="data" outline="0" fieldPosition="0">
        <references count="3">
          <reference field="4294967294" count="1" selected="0">
            <x v="0"/>
          </reference>
          <reference field="10" count="1" selected="0">
            <x v="2"/>
          </reference>
          <reference field="13" count="1" selected="0">
            <x v="1"/>
          </reference>
        </references>
      </pivotArea>
    </chartFormat>
    <chartFormat chart="0" format="8">
      <pivotArea type="data" outline="0" fieldPosition="0">
        <references count="3">
          <reference field="4294967294" count="1" selected="0">
            <x v="0"/>
          </reference>
          <reference field="10" count="1" selected="0">
            <x v="1"/>
          </reference>
          <reference field="13" count="1" selected="0">
            <x v="0"/>
          </reference>
        </references>
      </pivotArea>
    </chartFormat>
    <chartFormat chart="0" format="9">
      <pivotArea type="data" outline="0" fieldPosition="0">
        <references count="3">
          <reference field="4294967294" count="1" selected="0">
            <x v="0"/>
          </reference>
          <reference field="10" count="1" selected="0">
            <x v="2"/>
          </reference>
          <reference field="13" count="1" selected="0">
            <x v="0"/>
          </reference>
        </references>
      </pivotArea>
    </chartFormat>
    <chartFormat chart="0" format="10">
      <pivotArea type="data" outline="0" fieldPosition="0">
        <references count="3">
          <reference field="4294967294" count="1" selected="0">
            <x v="0"/>
          </reference>
          <reference field="10" count="1" selected="0">
            <x v="0"/>
          </reference>
          <reference field="13" count="1" selected="0">
            <x v="1"/>
          </reference>
        </references>
      </pivotArea>
    </chartFormat>
    <chartFormat chart="0" format="11">
      <pivotArea type="data" outline="0" fieldPosition="0">
        <references count="3">
          <reference field="4294967294" count="1" selected="0">
            <x v="0"/>
          </reference>
          <reference field="10" count="1" selected="0">
            <x v="1"/>
          </reference>
          <reference field="13" count="1" selected="0">
            <x v="1"/>
          </reference>
        </references>
      </pivotArea>
    </chartFormat>
    <chartFormat chart="0" format="12">
      <pivotArea type="data" outline="0" fieldPosition="0">
        <references count="3">
          <reference field="4294967294" count="1" selected="0">
            <x v="0"/>
          </reference>
          <reference field="10" count="1" selected="0">
            <x v="2"/>
          </reference>
          <reference field="13" count="1" selected="0">
            <x v="1"/>
          </reference>
        </references>
      </pivotArea>
    </chartFormat>
    <chartFormat chart="8" format="19" series="1">
      <pivotArea type="data" outline="0" fieldPosition="0">
        <references count="1">
          <reference field="4294967294" count="1" selected="0">
            <x v="0"/>
          </reference>
        </references>
      </pivotArea>
    </chartFormat>
    <chartFormat chart="0"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3E01ED2-D1C2-4A58-9924-78A6CB6E3BE2}" name="PivotTable19" cacheId="1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63:P70" firstHeaderRow="1" firstDataRow="2" firstDataCol="1"/>
  <pivotFields count="18">
    <pivotField showAll="0"/>
    <pivotField showAll="0"/>
    <pivotField showAll="0"/>
    <pivotField numFmtId="165" showAll="0"/>
    <pivotField showAll="0"/>
    <pivotField showAll="0"/>
    <pivotField showAll="0"/>
    <pivotField showAll="0"/>
    <pivotField axis="axisRow" showAll="0">
      <items count="6">
        <item n="0 Car" x="0"/>
        <item n="1 Car" x="1"/>
        <item n="2 Cars" x="2"/>
        <item n="3 Cars" x="4"/>
        <item n="4 Cars" x="3"/>
        <item t="default"/>
      </items>
    </pivotField>
    <pivotField showAll="0"/>
    <pivotField showAll="0"/>
    <pivotField showAll="0"/>
    <pivotField showAll="0"/>
    <pivotField axis="axisCol" dataField="1" showAll="0">
      <items count="3">
        <item x="0"/>
        <item x="1"/>
        <item t="default"/>
      </items>
    </pivotField>
    <pivotField showAll="0"/>
    <pivotField showAll="0"/>
    <pivotField dragToRow="0" dragToCol="0" dragToPage="0" showAll="0" defaultSubtotal="0"/>
    <pivotField dragToRow="0" dragToCol="0" dragToPage="0" showAll="0" defaultSubtotal="0"/>
  </pivotFields>
  <rowFields count="1">
    <field x="8"/>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DF56218-C0B6-4588-AA09-78C4E16C3BB8}" name="PivotTable3" cacheId="1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I124:J128" firstHeaderRow="1" firstDataRow="1" firstDataCol="1"/>
  <pivotFields count="18">
    <pivotField showAll="0"/>
    <pivotField showAll="0"/>
    <pivotField showAll="0"/>
    <pivotField numFmtId="165"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multipleItemSelectionAllowed="1" showAll="0"/>
    <pivotField showAll="0"/>
    <pivotField dataField="1" showAll="0">
      <items count="3">
        <item x="0"/>
        <item x="1"/>
        <item t="default"/>
      </items>
    </pivotField>
    <pivotField dragToRow="0" dragToCol="0" dragToPage="0" showAll="0" defaultSubtotal="0"/>
    <pivotField dragToRow="0" dragToCol="0" dragToPage="0" showAll="0" defaultSubtotal="0"/>
  </pivotFields>
  <rowFields count="1">
    <field x="12"/>
  </rowFields>
  <rowItems count="4">
    <i>
      <x/>
    </i>
    <i>
      <x v="1"/>
    </i>
    <i>
      <x v="2"/>
    </i>
    <i t="grand">
      <x/>
    </i>
  </rowItems>
  <colItems count="1">
    <i/>
  </colItems>
  <dataFields count="1">
    <dataField name="Coversion Rate" fld="15" subtotal="average" baseField="2" baseItem="0" numFmtId="9"/>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679B93A-780C-4F6D-B468-79639902EF2A}" name="PivotTable20" cacheId="1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90:D98" firstHeaderRow="1" firstDataRow="2" firstDataCol="1"/>
  <pivotFields count="18">
    <pivotField showAll="0"/>
    <pivotField showAll="0"/>
    <pivotField showAll="0"/>
    <pivotField numFmtId="165" showAll="0"/>
    <pivotField axis="axisRow" showAll="0">
      <items count="7">
        <item n="0 Child" x="3"/>
        <item n="1 Child" x="0"/>
        <item n="2 Children" x="4"/>
        <item n="3 Children" x="1"/>
        <item n="4 Children" x="5"/>
        <item n="5 Children" x="2"/>
        <item t="default"/>
      </items>
    </pivotField>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showAll="0"/>
    <pivotField dragToRow="0" dragToCol="0" dragToPage="0" showAll="0" defaultSubtotal="0"/>
    <pivotField dragToRow="0" dragToCol="0" dragToPage="0" showAll="0" defaultSubtotal="0"/>
  </pivotFields>
  <rowFields count="1">
    <field x="4"/>
  </rowFields>
  <rowItems count="7">
    <i>
      <x/>
    </i>
    <i>
      <x v="1"/>
    </i>
    <i>
      <x v="2"/>
    </i>
    <i>
      <x v="3"/>
    </i>
    <i>
      <x v="4"/>
    </i>
    <i>
      <x v="5"/>
    </i>
    <i t="grand">
      <x/>
    </i>
  </rowItems>
  <colFields count="1">
    <field x="13"/>
  </colFields>
  <colItems count="3">
    <i>
      <x/>
    </i>
    <i>
      <x v="1"/>
    </i>
    <i t="grand">
      <x/>
    </i>
  </colItems>
  <dataFields count="1">
    <dataField name="Count of Purchased Bike" fld="13" subtotal="count" baseField="0" baseItem="0"/>
  </dataFields>
  <chartFormats count="1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4" count="1" selected="0">
            <x v="0"/>
          </reference>
          <reference field="13" count="1" selected="0">
            <x v="0"/>
          </reference>
        </references>
      </pivotArea>
    </chartFormat>
    <chartFormat chart="0" format="3">
      <pivotArea type="data" outline="0" fieldPosition="0">
        <references count="3">
          <reference field="4294967294" count="1" selected="0">
            <x v="0"/>
          </reference>
          <reference field="4" count="1" selected="0">
            <x v="1"/>
          </reference>
          <reference field="13" count="1" selected="0">
            <x v="0"/>
          </reference>
        </references>
      </pivotArea>
    </chartFormat>
    <chartFormat chart="0" format="4">
      <pivotArea type="data" outline="0" fieldPosition="0">
        <references count="3">
          <reference field="4294967294" count="1" selected="0">
            <x v="0"/>
          </reference>
          <reference field="4" count="1" selected="0">
            <x v="2"/>
          </reference>
          <reference field="13" count="1" selected="0">
            <x v="0"/>
          </reference>
        </references>
      </pivotArea>
    </chartFormat>
    <chartFormat chart="0" format="5">
      <pivotArea type="data" outline="0" fieldPosition="0">
        <references count="3">
          <reference field="4294967294" count="1" selected="0">
            <x v="0"/>
          </reference>
          <reference field="4" count="1" selected="0">
            <x v="3"/>
          </reference>
          <reference field="13" count="1" selected="0">
            <x v="0"/>
          </reference>
        </references>
      </pivotArea>
    </chartFormat>
    <chartFormat chart="0" format="6">
      <pivotArea type="data" outline="0" fieldPosition="0">
        <references count="3">
          <reference field="4294967294" count="1" selected="0">
            <x v="0"/>
          </reference>
          <reference field="4" count="1" selected="0">
            <x v="4"/>
          </reference>
          <reference field="13" count="1" selected="0">
            <x v="0"/>
          </reference>
        </references>
      </pivotArea>
    </chartFormat>
    <chartFormat chart="0" format="7">
      <pivotArea type="data" outline="0" fieldPosition="0">
        <references count="3">
          <reference field="4294967294" count="1" selected="0">
            <x v="0"/>
          </reference>
          <reference field="4" count="1" selected="0">
            <x v="5"/>
          </reference>
          <reference field="13" count="1" selected="0">
            <x v="0"/>
          </reference>
        </references>
      </pivotArea>
    </chartFormat>
    <chartFormat chart="0" format="8">
      <pivotArea type="data" outline="0" fieldPosition="0">
        <references count="3">
          <reference field="4294967294" count="1" selected="0">
            <x v="0"/>
          </reference>
          <reference field="4" count="1" selected="0">
            <x v="0"/>
          </reference>
          <reference field="13" count="1" selected="0">
            <x v="1"/>
          </reference>
        </references>
      </pivotArea>
    </chartFormat>
    <chartFormat chart="0" format="9">
      <pivotArea type="data" outline="0" fieldPosition="0">
        <references count="3">
          <reference field="4294967294" count="1" selected="0">
            <x v="0"/>
          </reference>
          <reference field="4" count="1" selected="0">
            <x v="1"/>
          </reference>
          <reference field="13" count="1" selected="0">
            <x v="1"/>
          </reference>
        </references>
      </pivotArea>
    </chartFormat>
    <chartFormat chart="0" format="10">
      <pivotArea type="data" outline="0" fieldPosition="0">
        <references count="3">
          <reference field="4294967294" count="1" selected="0">
            <x v="0"/>
          </reference>
          <reference field="4" count="1" selected="0">
            <x v="2"/>
          </reference>
          <reference field="13" count="1" selected="0">
            <x v="1"/>
          </reference>
        </references>
      </pivotArea>
    </chartFormat>
    <chartFormat chart="0" format="11">
      <pivotArea type="data" outline="0" fieldPosition="0">
        <references count="3">
          <reference field="4294967294" count="1" selected="0">
            <x v="0"/>
          </reference>
          <reference field="4" count="1" selected="0">
            <x v="3"/>
          </reference>
          <reference field="13" count="1" selected="0">
            <x v="1"/>
          </reference>
        </references>
      </pivotArea>
    </chartFormat>
    <chartFormat chart="0" format="12">
      <pivotArea type="data" outline="0" fieldPosition="0">
        <references count="3">
          <reference field="4294967294" count="1" selected="0">
            <x v="0"/>
          </reference>
          <reference field="4" count="1" selected="0">
            <x v="4"/>
          </reference>
          <reference field="13" count="1" selected="0">
            <x v="1"/>
          </reference>
        </references>
      </pivotArea>
    </chartFormat>
    <chartFormat chart="0" format="13">
      <pivotArea type="data" outline="0" fieldPosition="0">
        <references count="3">
          <reference field="4294967294" count="1" selected="0">
            <x v="0"/>
          </reference>
          <reference field="4" count="1" selected="0">
            <x v="5"/>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25010AE-D491-4786-865F-C623D23B7476}" name="PivotTable2" cacheId="1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1:D16" firstHeaderRow="1" firstDataRow="2" firstDataCol="1"/>
  <pivotFields count="18">
    <pivotField showAll="0"/>
    <pivotField showAll="0"/>
    <pivotField showAll="0">
      <items count="3">
        <item x="0"/>
        <item x="1"/>
        <item t="default"/>
      </items>
    </pivotField>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dataField="1" showAll="0">
      <items count="4">
        <item x="0"/>
        <item x="1"/>
        <item x="2"/>
        <item t="default"/>
      </items>
    </pivotField>
    <pivotField axis="axisCol" showAll="0">
      <items count="3">
        <item x="0"/>
        <item x="1"/>
        <item t="default"/>
      </items>
    </pivotField>
    <pivotField showAll="0">
      <items count="4">
        <item x="1"/>
        <item x="2"/>
        <item x="0"/>
        <item t="default"/>
      </items>
    </pivotField>
    <pivotField showAll="0"/>
    <pivotField dragToRow="0" dragToCol="0" dragToPage="0" showAll="0" defaultSubtotal="0"/>
    <pivotField dragToRow="0" dragToCol="0" dragToPage="0" showAll="0" defaultSubtotal="0"/>
  </pivotFields>
  <rowFields count="1">
    <field x="12"/>
  </rowFields>
  <rowItems count="4">
    <i>
      <x/>
    </i>
    <i>
      <x v="1"/>
    </i>
    <i>
      <x v="2"/>
    </i>
    <i t="grand">
      <x/>
    </i>
  </rowItems>
  <colFields count="1">
    <field x="13"/>
  </colFields>
  <colItems count="3">
    <i>
      <x/>
    </i>
    <i>
      <x v="1"/>
    </i>
    <i t="grand">
      <x/>
    </i>
  </colItems>
  <dataFields count="1">
    <dataField name="Count of Age Range" fld="12" subtotal="count" baseField="0" baseItem="0"/>
  </dataFields>
  <chartFormats count="6">
    <chartFormat chart="9" format="0" series="1">
      <pivotArea type="data" outline="0" fieldPosition="0">
        <references count="2">
          <reference field="4294967294" count="1" selected="0">
            <x v="0"/>
          </reference>
          <reference field="13" count="1" selected="0">
            <x v="0"/>
          </reference>
        </references>
      </pivotArea>
    </chartFormat>
    <chartFormat chart="9" format="1" series="1">
      <pivotArea type="data" outline="0" fieldPosition="0">
        <references count="2">
          <reference field="4294967294" count="1" selected="0">
            <x v="0"/>
          </reference>
          <reference field="13" count="1" selected="0">
            <x v="1"/>
          </reference>
        </references>
      </pivotArea>
    </chartFormat>
    <chartFormat chart="11" format="6" series="1">
      <pivotArea type="data" outline="0" fieldPosition="0">
        <references count="2">
          <reference field="4294967294" count="1" selected="0">
            <x v="0"/>
          </reference>
          <reference field="13" count="1" selected="0">
            <x v="0"/>
          </reference>
        </references>
      </pivotArea>
    </chartFormat>
    <chartFormat chart="11" format="7" series="1">
      <pivotArea type="data" outline="0" fieldPosition="0">
        <references count="2">
          <reference field="4294967294" count="1" selected="0">
            <x v="0"/>
          </reference>
          <reference field="13" count="1" selected="0">
            <x v="1"/>
          </reference>
        </references>
      </pivotArea>
    </chartFormat>
    <chartFormat chart="11" format="8"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F8D4960-0FEF-48B0-B4AD-033364AEACCC}" name="PivotTable13" cacheId="1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11:P15" firstHeaderRow="1" firstDataRow="2" firstDataCol="1"/>
  <pivotFields count="18">
    <pivotField showAll="0"/>
    <pivotField axis="axisRow" showAll="0">
      <items count="3">
        <item n="Married" x="0"/>
        <item n="Single" x="1"/>
        <item t="default"/>
      </items>
    </pivotField>
    <pivotField showAll="0"/>
    <pivotField numFmtId="164"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showAll="0"/>
    <pivotField dragToRow="0" dragToCol="0" dragToPage="0" showAll="0" defaultSubtotal="0"/>
    <pivotField dragToRow="0" dragToCol="0" dragToPage="0" showAll="0" defaultSubtotal="0"/>
  </pivotFields>
  <rowFields count="1">
    <field x="1"/>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1" count="1" selected="0">
            <x v="1"/>
          </reference>
          <reference field="13" count="1" selected="0">
            <x v="0"/>
          </reference>
        </references>
      </pivotArea>
    </chartFormat>
    <chartFormat chart="0" format="3">
      <pivotArea type="data" outline="0" fieldPosition="0">
        <references count="3">
          <reference field="4294967294" count="1" selected="0">
            <x v="0"/>
          </reference>
          <reference field="1" count="1" selected="0">
            <x v="0"/>
          </reference>
          <reference field="13" count="1" selected="0">
            <x v="0"/>
          </reference>
        </references>
      </pivotArea>
    </chartFormat>
    <chartFormat chart="0" format="4">
      <pivotArea type="data" outline="0" fieldPosition="0">
        <references count="3">
          <reference field="4294967294" count="1" selected="0">
            <x v="0"/>
          </reference>
          <reference field="1" count="1" selected="0">
            <x v="0"/>
          </reference>
          <reference field="13" count="1" selected="0">
            <x v="1"/>
          </reference>
        </references>
      </pivotArea>
    </chartFormat>
    <chartFormat chart="0" format="5">
      <pivotArea type="data" outline="0" fieldPosition="0">
        <references count="3">
          <reference field="4294967294" count="1" selected="0">
            <x v="0"/>
          </reference>
          <reference field="1" count="1" selected="0">
            <x v="1"/>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28640DB-FD42-49C2-8731-543885F57B45}" name="PivotTable21" cacheId="1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18:G132" firstHeaderRow="1" firstDataRow="2" firstDataCol="1" rowPageCount="1" colPageCount="1"/>
  <pivotFields count="18">
    <pivotField showAll="0"/>
    <pivotField showAll="0"/>
    <pivotField showAll="0"/>
    <pivotField numFmtId="165" showAll="0"/>
    <pivotField showAll="0"/>
    <pivotField showAll="0"/>
    <pivotField showAll="0"/>
    <pivotField showAll="0"/>
    <pivotField showAll="0"/>
    <pivotField axis="axisCol" multipleItemSelectionAllowed="1" showAll="0">
      <items count="6">
        <item x="0"/>
        <item x="4"/>
        <item x="3"/>
        <item x="1"/>
        <item x="2"/>
        <item t="default"/>
      </items>
    </pivotField>
    <pivotField axis="axisRow" showAll="0">
      <items count="4">
        <item x="0"/>
        <item x="2"/>
        <item x="1"/>
        <item t="default"/>
      </items>
    </pivotField>
    <pivotField showAll="0"/>
    <pivotField showAll="0"/>
    <pivotField axis="axisPage" dataField="1" multipleItemSelectionAllowed="1" showAll="0">
      <items count="3">
        <item h="1" x="0"/>
        <item x="1"/>
        <item t="default"/>
      </items>
    </pivotField>
    <pivotField axis="axisRow" multipleItemSelectionAllowed="1" showAll="0">
      <items count="4">
        <item x="1"/>
        <item x="2"/>
        <item x="0"/>
        <item t="default"/>
      </items>
    </pivotField>
    <pivotField showAll="0"/>
    <pivotField dragToRow="0" dragToCol="0" dragToPage="0" showAll="0" defaultSubtotal="0"/>
    <pivotField dragToRow="0" dragToCol="0" dragToPage="0" showAll="0" defaultSubtotal="0"/>
  </pivotFields>
  <rowFields count="2">
    <field x="10"/>
    <field x="14"/>
  </rowFields>
  <rowItems count="13">
    <i>
      <x/>
    </i>
    <i r="1">
      <x/>
    </i>
    <i r="1">
      <x v="1"/>
    </i>
    <i r="1">
      <x v="2"/>
    </i>
    <i>
      <x v="1"/>
    </i>
    <i r="1">
      <x/>
    </i>
    <i r="1">
      <x v="1"/>
    </i>
    <i r="1">
      <x v="2"/>
    </i>
    <i>
      <x v="2"/>
    </i>
    <i r="1">
      <x/>
    </i>
    <i r="1">
      <x v="1"/>
    </i>
    <i r="1">
      <x v="2"/>
    </i>
    <i t="grand">
      <x/>
    </i>
  </rowItems>
  <colFields count="1">
    <field x="9"/>
  </colFields>
  <colItems count="6">
    <i>
      <x/>
    </i>
    <i>
      <x v="1"/>
    </i>
    <i>
      <x v="2"/>
    </i>
    <i>
      <x v="3"/>
    </i>
    <i>
      <x v="4"/>
    </i>
    <i t="grand">
      <x/>
    </i>
  </colItems>
  <pageFields count="1">
    <pageField fld="13" hier="-1"/>
  </pageFields>
  <dataFields count="1">
    <dataField name="Count of Purchased Bike" fld="13" subtotal="count" baseField="0" baseItem="0"/>
  </dataFields>
  <chartFormats count="5">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6A9D707-3961-4FE1-8D02-7A4964B69722}" name="PivotTable16" cacheId="1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36:P40" firstHeaderRow="1" firstDataRow="2" firstDataCol="1"/>
  <pivotFields count="18">
    <pivotField showAll="0"/>
    <pivotField showAll="0"/>
    <pivotField showAll="0"/>
    <pivotField numFmtId="165" showAll="0"/>
    <pivotField showAll="0"/>
    <pivotField showAll="0"/>
    <pivotField showAll="0"/>
    <pivotField axis="axisRow" showAll="0">
      <items count="3">
        <item n="Non-Home Owners" x="1"/>
        <item n="Home Owners" x="0"/>
        <item t="default"/>
      </items>
    </pivotField>
    <pivotField showAll="0"/>
    <pivotField showAll="0"/>
    <pivotField showAll="0"/>
    <pivotField showAll="0"/>
    <pivotField showAll="0"/>
    <pivotField axis="axisCol" dataField="1" showAll="0">
      <items count="3">
        <item x="0"/>
        <item x="1"/>
        <item t="default"/>
      </items>
    </pivotField>
    <pivotField showAll="0"/>
    <pivotField showAll="0"/>
    <pivotField dragToRow="0" dragToCol="0" dragToPage="0" showAll="0" defaultSubtotal="0"/>
    <pivotField dragToRow="0" dragToCol="0" dragToPage="0" showAll="0" defaultSubtotal="0"/>
  </pivotFields>
  <rowFields count="1">
    <field x="7"/>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65C0063-C331-4544-B275-2BF6C6F9D4FA}" name="PivotTable15" cacheId="1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6:J43" firstHeaderRow="1" firstDataRow="2" firstDataCol="1"/>
  <pivotFields count="18">
    <pivotField showAll="0"/>
    <pivotField showAll="0"/>
    <pivotField showAll="0">
      <items count="3">
        <item x="0"/>
        <item x="1"/>
        <item t="default"/>
      </items>
    </pivotField>
    <pivotField numFmtId="165" showAll="0"/>
    <pivotField showAll="0"/>
    <pivotField axis="axisRow"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items count="4">
        <item x="0"/>
        <item x="1"/>
        <item x="2"/>
        <item t="default"/>
      </items>
    </pivotField>
    <pivotField axis="axisCol" dataField="1" showAll="0">
      <items count="3">
        <item x="0"/>
        <item x="1"/>
        <item t="default"/>
      </items>
    </pivotField>
    <pivotField showAll="0">
      <items count="4">
        <item x="1"/>
        <item x="2"/>
        <item x="0"/>
        <item t="default"/>
      </items>
    </pivotField>
    <pivotField showAll="0"/>
    <pivotField dragToRow="0" dragToCol="0" dragToPage="0" showAll="0" defaultSubtotal="0"/>
    <pivotField dragToRow="0" dragToCol="0" dragToPage="0" showAll="0" defaultSubtotal="0"/>
  </pivotFields>
  <rowFields count="1">
    <field x="5"/>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C0FB74CA-6943-4777-8572-604E0679708F}" sourceName="Gender">
  <pivotTables>
    <pivotTable tabId="12" name="PivotTable12"/>
    <pivotTable tabId="12" name="PivotTable2"/>
    <pivotTable tabId="12" name="PivotTable14"/>
    <pivotTable tabId="12" name="PivotTable15"/>
    <pivotTable tabId="12" name="PivotTable18"/>
    <pivotTable tabId="12" name="PivotTable8"/>
    <pivotTable tabId="12" name="KPI_Conversion"/>
  </pivotTables>
  <data>
    <tabular pivotCacheId="7946915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Range1" xr10:uid="{3C994C7F-791B-4AB6-A62B-EDC0E5989AE8}" sourceName="Income Range">
  <pivotTables>
    <pivotTable tabId="12" name="PivotTable14"/>
    <pivotTable tabId="12" name="PivotTable12"/>
    <pivotTable tabId="12" name="PivotTable15"/>
    <pivotTable tabId="12" name="PivotTable18"/>
    <pivotTable tabId="12" name="PivotTable2"/>
    <pivotTable tabId="12" name="PivotTable8"/>
    <pivotTable tabId="12" name="KPI_Conversion"/>
  </pivotTables>
  <data>
    <tabular pivotCacheId="79469154">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45DB774E-EEF8-45FC-AD4E-2B375CDE4F6E}" sourceName="Region">
  <pivotTables>
    <pivotTable tabId="12" name="PivotTable18"/>
    <pivotTable tabId="12" name="PivotTable12"/>
    <pivotTable tabId="12" name="PivotTable14"/>
    <pivotTable tabId="12" name="PivotTable15"/>
    <pivotTable tabId="12" name="PivotTable2"/>
    <pivotTable tabId="12" name="PivotTable8"/>
    <pivotTable tabId="12" name="KPI_Conversion"/>
  </pivotTables>
  <data>
    <tabular pivotCacheId="79469154">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1" xr10:uid="{18C37E0F-D6EF-400E-A3B2-20DEC7ADC7D2}" sourceName="Education">
  <pivotTables>
    <pivotTable tabId="12" name="PivotTable15"/>
    <pivotTable tabId="12" name="PivotTable12"/>
    <pivotTable tabId="12" name="PivotTable14"/>
    <pivotTable tabId="12" name="PivotTable18"/>
    <pivotTable tabId="12" name="PivotTable2"/>
    <pivotTable tabId="12" name="PivotTable8"/>
    <pivotTable tabId="12" name="KPI_Conversion"/>
  </pivotTables>
  <data>
    <tabular pivotCacheId="79469154">
      <items count="5">
        <i x="0" s="1"/>
        <i x="4" s="1"/>
        <i x="2"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ange" xr10:uid="{B8881073-6B1D-4290-A7E5-DDDE8CAD937F}" sourceName="Age Range">
  <pivotTables>
    <pivotTable tabId="12" name="PivotTable2"/>
    <pivotTable tabId="12" name="PivotTable12"/>
    <pivotTable tabId="12" name="PivotTable14"/>
    <pivotTable tabId="12" name="PivotTable15"/>
    <pivotTable tabId="12" name="PivotTable18"/>
    <pivotTable tabId="12" name="PivotTable8"/>
    <pivotTable tabId="12" name="KPI_Conversion"/>
  </pivotTables>
  <data>
    <tabular pivotCacheId="79469154">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CEB5774C-C246-44AB-8A09-553588CC028B}" sourceName="Purchased Bike">
  <pivotTables>
    <pivotTable tabId="12" name="PivotTable15"/>
    <pivotTable tabId="12" name="PivotTable12"/>
    <pivotTable tabId="12" name="PivotTable2"/>
    <pivotTable tabId="12" name="PivotTable14"/>
    <pivotTable tabId="12" name="PivotTable18"/>
    <pivotTable tabId="12" name="PivotTable8"/>
    <pivotTable tabId="12" name="KPI_Conversion"/>
  </pivotTables>
  <data>
    <tabular pivotCacheId="7946915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6D33D03-6813-4341-A39F-38BEE53BD650}" cache="Slicer_Gender1" caption="Gender" columnCount="2" style="SlicerStyleOther1 2" rowHeight="241300"/>
  <slicer name="Income Range 1" xr10:uid="{306BFD7E-D279-48B7-8F00-09D4363A91CC}" cache="Slicer_Income_Range1" caption="Income Range" columnCount="2" style="SlicerStyleOther1 2" rowHeight="241300"/>
  <slicer name="Region 1" xr10:uid="{13616026-5710-4E17-B7DD-75A6E0792C42}" cache="Slicer_Region1" caption="Region" columnCount="3" style="SlicerStyleOther1 2" rowHeight="241300"/>
  <slicer name="Education 1" xr10:uid="{F6516071-ADEB-46DA-AA43-099414991DA8}" cache="Slicer_Education1" caption="Education" columnCount="2" style="SlicerStyleOther1 2" rowHeight="241300"/>
  <slicer name="Age Range" xr10:uid="{50DA5293-702A-4974-9C9A-D8D7BA6874F6}" cache="Slicer_Age_Range" caption="Age Range" columnCount="3" style="SlicerStyleOther1 2" rowHeight="241300"/>
  <slicer name="Purchased Bike" xr10:uid="{ADE466A0-1EBE-4451-9781-E8D63218CABF}" cache="Slicer_Purchased_Bike" caption="Purchased Bike" columnCount="2" style="SlicerStyleOther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CD5745F-6325-4AEE-915B-32804245778A}" name="Table24" displayName="Table24" ref="A1:P1001" totalsRowShown="0">
  <autoFilter ref="A1:P1001" xr:uid="{ACD5745F-6325-4AEE-915B-32804245778A}">
    <filterColumn colId="12">
      <filters>
        <filter val="Middle Age"/>
      </filters>
    </filterColumn>
    <filterColumn colId="15">
      <filters>
        <filter val="1"/>
      </filters>
    </filterColumn>
  </autoFilter>
  <tableColumns count="16">
    <tableColumn id="1" xr3:uid="{078EE83C-E7E9-45EE-B71E-3EAEB477A91A}" name="ID"/>
    <tableColumn id="2" xr3:uid="{2A27AC63-1E37-482D-9280-EC45AE8D4082}" name="Marital Status"/>
    <tableColumn id="3" xr3:uid="{882F91BE-E525-48FB-A49A-95248E647575}" name="Gender"/>
    <tableColumn id="4" xr3:uid="{3F8D7DC2-E21D-46B1-9D7F-BB4683B76A0D}" name="Income" dataDxfId="3"/>
    <tableColumn id="5" xr3:uid="{A42C3D9F-8DFF-4A26-8A6A-1DA60424CEC1}" name="Children"/>
    <tableColumn id="6" xr3:uid="{CFA80F54-CB3D-4170-A4F1-6AC0C1765B03}" name="Education"/>
    <tableColumn id="7" xr3:uid="{DF87886B-CCBC-4A9A-BABA-D347AEF552B1}" name="Occupation"/>
    <tableColumn id="8" xr3:uid="{60C17F98-09E8-40CF-9383-647591E11EF4}" name="Home Owner"/>
    <tableColumn id="9" xr3:uid="{50888A05-2895-4C4D-8A07-47D4115E4C57}" name="Cars"/>
    <tableColumn id="10" xr3:uid="{4FB6C6A9-0D89-40FF-9AED-166984639FCA}" name="Commute Distance"/>
    <tableColumn id="11" xr3:uid="{1FA694CB-68BF-4CF3-AF90-97F74D0022DC}" name="Region"/>
    <tableColumn id="12" xr3:uid="{00BFBEF0-F4B6-4D01-BA68-0B2B7C89F2AC}" name="Age"/>
    <tableColumn id="14" xr3:uid="{30C8110C-18E9-46EF-9250-D449B4F9BD73}" name="Age Range" dataDxfId="2">
      <calculatedColumnFormula array="1">_xlfn.IFS(
L2&gt;50,"Old Age",
L2&gt;=31,"Middle Age",
L2&lt;31,"Young Age"
)</calculatedColumnFormula>
    </tableColumn>
    <tableColumn id="13" xr3:uid="{82BF51AC-B030-4422-BADE-0827E45C6D25}" name="Purchased Bike"/>
    <tableColumn id="15" xr3:uid="{CDD6FFF5-381A-4FC5-8BFA-5A1CF8894A4E}" name="Income Range" dataDxfId="1">
      <calculatedColumnFormula array="1">_xlfn.IFS(D2&gt;120000, "High Income", D2&gt;=80000, "Average Income", D2&lt;80000, "Low Income")</calculatedColumnFormula>
    </tableColumn>
    <tableColumn id="16" xr3:uid="{3273BAE5-637B-4294-8F80-52E9C2D55E27}" name="Purchase Flag" dataDxfId="0">
      <calculatedColumnFormula>IF(Table24[[#This Row],[Purchased Bike]]="Yes",1,0)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drawing" Target="../drawings/drawing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8611B-8F09-4960-B611-7656C72116A5}">
  <dimension ref="A1:X163"/>
  <sheetViews>
    <sheetView topLeftCell="D150" workbookViewId="0">
      <selection activeCell="I163" sqref="I163"/>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 min="5" max="5" width="9.140625" bestFit="1" customWidth="1"/>
    <col min="6" max="6" width="10.140625" bestFit="1" customWidth="1"/>
    <col min="7" max="7" width="22.85546875" bestFit="1" customWidth="1"/>
    <col min="8" max="8" width="16.28515625" bestFit="1" customWidth="1"/>
    <col min="9" max="9" width="25.28515625" bestFit="1" customWidth="1"/>
    <col min="10" max="10" width="16.28515625" bestFit="1" customWidth="1"/>
    <col min="11" max="11" width="4.5703125" bestFit="1" customWidth="1"/>
    <col min="12" max="12" width="11.28515625" bestFit="1" customWidth="1"/>
    <col min="13" max="13" width="12.85546875" bestFit="1" customWidth="1"/>
    <col min="14" max="14" width="21.7109375" bestFit="1" customWidth="1"/>
    <col min="15" max="15" width="14.7109375" bestFit="1" customWidth="1"/>
    <col min="16" max="16" width="17.28515625" bestFit="1" customWidth="1"/>
    <col min="17" max="17" width="22.28515625" bestFit="1" customWidth="1"/>
    <col min="18" max="18" width="18.85546875" bestFit="1" customWidth="1"/>
    <col min="19" max="19" width="18.42578125" bestFit="1" customWidth="1"/>
    <col min="20" max="20" width="16.28515625" bestFit="1" customWidth="1"/>
    <col min="21" max="21" width="23.140625" bestFit="1" customWidth="1"/>
    <col min="22" max="22" width="18.140625" bestFit="1" customWidth="1"/>
    <col min="23" max="23" width="20.7109375" bestFit="1" customWidth="1"/>
    <col min="24" max="24" width="24.42578125" bestFit="1" customWidth="1"/>
    <col min="25" max="25" width="14" bestFit="1" customWidth="1"/>
    <col min="26" max="26" width="20.7109375" bestFit="1" customWidth="1"/>
    <col min="27" max="27" width="13.42578125" bestFit="1" customWidth="1"/>
    <col min="28" max="32" width="9.42578125" bestFit="1" customWidth="1"/>
    <col min="33" max="33" width="11.28515625" bestFit="1" customWidth="1"/>
    <col min="34" max="34" width="14.140625" bestFit="1" customWidth="1"/>
    <col min="35" max="35" width="15.42578125" bestFit="1" customWidth="1"/>
    <col min="36" max="36" width="11.5703125" bestFit="1" customWidth="1"/>
    <col min="37" max="37" width="15.140625" bestFit="1" customWidth="1"/>
    <col min="38" max="38" width="19" bestFit="1" customWidth="1"/>
    <col min="39" max="39" width="15.42578125" bestFit="1" customWidth="1"/>
    <col min="40" max="40" width="12" bestFit="1" customWidth="1"/>
    <col min="41" max="41" width="11.5703125" bestFit="1" customWidth="1"/>
    <col min="42" max="42" width="14.140625" bestFit="1" customWidth="1"/>
    <col min="43" max="43" width="15.42578125" bestFit="1" customWidth="1"/>
    <col min="44" max="44" width="12" bestFit="1" customWidth="1"/>
    <col min="45" max="45" width="11.5703125" bestFit="1" customWidth="1"/>
    <col min="46" max="46" width="14.42578125" bestFit="1" customWidth="1"/>
    <col min="47" max="47" width="15.42578125" bestFit="1" customWidth="1"/>
    <col min="48" max="48" width="11.5703125" bestFit="1" customWidth="1"/>
    <col min="49" max="49" width="14.140625" bestFit="1" customWidth="1"/>
    <col min="50" max="50" width="15.42578125" bestFit="1" customWidth="1"/>
    <col min="51" max="51" width="12" bestFit="1" customWidth="1"/>
    <col min="52" max="52" width="11.5703125" bestFit="1" customWidth="1"/>
    <col min="53" max="53" width="14.140625" bestFit="1" customWidth="1"/>
    <col min="54" max="54" width="15.42578125" bestFit="1" customWidth="1"/>
    <col min="55" max="55" width="12" bestFit="1" customWidth="1"/>
    <col min="56" max="56" width="11.5703125" bestFit="1" customWidth="1"/>
    <col min="57" max="57" width="15.140625" bestFit="1" customWidth="1"/>
    <col min="58" max="58" width="11.5703125" bestFit="1" customWidth="1"/>
    <col min="59" max="59" width="11.28515625" bestFit="1" customWidth="1"/>
    <col min="60" max="60" width="15.140625" bestFit="1" customWidth="1"/>
    <col min="61" max="61" width="11.28515625" bestFit="1" customWidth="1"/>
    <col min="62" max="62" width="13.85546875" bestFit="1" customWidth="1"/>
    <col min="63" max="63" width="14" bestFit="1" customWidth="1"/>
    <col min="64" max="64" width="6.7109375" bestFit="1" customWidth="1"/>
    <col min="65" max="65" width="17" bestFit="1" customWidth="1"/>
    <col min="66" max="66" width="13.42578125" bestFit="1" customWidth="1"/>
    <col min="67" max="67" width="14" bestFit="1" customWidth="1"/>
    <col min="68" max="68" width="6.7109375" bestFit="1" customWidth="1"/>
    <col min="69" max="69" width="16.5703125" bestFit="1" customWidth="1"/>
    <col min="70" max="70" width="14.140625" bestFit="1" customWidth="1"/>
    <col min="71" max="71" width="17.28515625" bestFit="1" customWidth="1"/>
    <col min="72" max="72" width="14" bestFit="1" customWidth="1"/>
    <col min="73" max="73" width="6.7109375" bestFit="1" customWidth="1"/>
    <col min="74" max="74" width="20.42578125" bestFit="1" customWidth="1"/>
    <col min="75" max="75" width="13.85546875" bestFit="1" customWidth="1"/>
    <col min="76" max="76" width="17" bestFit="1" customWidth="1"/>
    <col min="77" max="77" width="14" bestFit="1" customWidth="1"/>
    <col min="78" max="78" width="6.7109375" bestFit="1" customWidth="1"/>
    <col min="79" max="79" width="16.5703125" bestFit="1" customWidth="1"/>
    <col min="80" max="80" width="14.42578125" bestFit="1" customWidth="1"/>
    <col min="81" max="81" width="17.28515625" bestFit="1" customWidth="1"/>
    <col min="82" max="82" width="6.7109375" bestFit="1" customWidth="1"/>
    <col min="83" max="83" width="20.42578125" bestFit="1" customWidth="1"/>
    <col min="84" max="84" width="13.42578125" bestFit="1" customWidth="1"/>
    <col min="85" max="85" width="14" bestFit="1" customWidth="1"/>
    <col min="86" max="86" width="6.7109375" bestFit="1" customWidth="1"/>
    <col min="87" max="87" width="16.5703125" bestFit="1" customWidth="1"/>
    <col min="88" max="88" width="14.140625" bestFit="1" customWidth="1"/>
    <col min="89" max="89" width="17.28515625" bestFit="1" customWidth="1"/>
    <col min="90" max="90" width="14" bestFit="1" customWidth="1"/>
    <col min="91" max="91" width="6.7109375" bestFit="1" customWidth="1"/>
    <col min="92" max="92" width="20.42578125" bestFit="1" customWidth="1"/>
    <col min="93" max="93" width="14" bestFit="1" customWidth="1"/>
    <col min="94" max="94" width="6.7109375" bestFit="1" customWidth="1"/>
    <col min="95" max="95" width="17" bestFit="1" customWidth="1"/>
    <col min="96" max="96" width="13.42578125" bestFit="1" customWidth="1"/>
    <col min="97" max="97" width="14" bestFit="1" customWidth="1"/>
    <col min="98" max="98" width="6.7109375" bestFit="1" customWidth="1"/>
    <col min="99" max="99" width="16.5703125" bestFit="1" customWidth="1"/>
    <col min="100" max="100" width="14.140625" bestFit="1" customWidth="1"/>
    <col min="101" max="101" width="17.28515625" bestFit="1" customWidth="1"/>
    <col min="102" max="102" width="14" bestFit="1" customWidth="1"/>
    <col min="103" max="103" width="6.7109375" bestFit="1" customWidth="1"/>
    <col min="104" max="104" width="20.42578125" bestFit="1" customWidth="1"/>
    <col min="105" max="105" width="13.85546875" bestFit="1" customWidth="1"/>
    <col min="106" max="106" width="17" bestFit="1" customWidth="1"/>
    <col min="107" max="107" width="13.42578125" bestFit="1" customWidth="1"/>
    <col min="108" max="108" width="14" bestFit="1" customWidth="1"/>
    <col min="109" max="109" width="6.7109375" bestFit="1" customWidth="1"/>
    <col min="110" max="110" width="16.5703125" bestFit="1" customWidth="1"/>
    <col min="111" max="111" width="15.140625" bestFit="1" customWidth="1"/>
    <col min="112" max="112" width="9" bestFit="1" customWidth="1"/>
    <col min="113" max="113" width="11.28515625" bestFit="1" customWidth="1"/>
    <col min="114" max="1001" width="16.28515625" bestFit="1" customWidth="1"/>
    <col min="1002" max="1003" width="11.28515625" bestFit="1" customWidth="1"/>
  </cols>
  <sheetData>
    <row r="1" spans="1:16" x14ac:dyDescent="0.25">
      <c r="C1" s="3" t="s">
        <v>12</v>
      </c>
      <c r="D1" t="s">
        <v>15</v>
      </c>
    </row>
    <row r="2" spans="1:16" ht="21" x14ac:dyDescent="0.35">
      <c r="A2" s="15" t="s">
        <v>46</v>
      </c>
    </row>
    <row r="3" spans="1:16" x14ac:dyDescent="0.25">
      <c r="A3" t="s">
        <v>63</v>
      </c>
      <c r="C3" t="s">
        <v>43</v>
      </c>
      <c r="G3" t="s">
        <v>99</v>
      </c>
    </row>
    <row r="4" spans="1:16" x14ac:dyDescent="0.25">
      <c r="A4">
        <v>1000</v>
      </c>
      <c r="C4">
        <v>481</v>
      </c>
      <c r="H4" s="3" t="s">
        <v>42</v>
      </c>
    </row>
    <row r="5" spans="1:16" x14ac:dyDescent="0.25">
      <c r="H5" t="s">
        <v>18</v>
      </c>
      <c r="I5" t="s">
        <v>15</v>
      </c>
      <c r="J5" t="s">
        <v>41</v>
      </c>
    </row>
    <row r="6" spans="1:16" x14ac:dyDescent="0.25">
      <c r="G6" t="s">
        <v>63</v>
      </c>
      <c r="H6" s="16">
        <v>0.51900000000000002</v>
      </c>
      <c r="I6" s="16">
        <v>0.48099999999999998</v>
      </c>
      <c r="J6" s="16">
        <v>1</v>
      </c>
      <c r="K6" s="16"/>
    </row>
    <row r="7" spans="1:16" x14ac:dyDescent="0.25">
      <c r="A7">
        <v>1000</v>
      </c>
    </row>
    <row r="9" spans="1:16" ht="21" x14ac:dyDescent="0.35">
      <c r="A9" s="15" t="s">
        <v>47</v>
      </c>
    </row>
    <row r="10" spans="1:16" ht="18.75" x14ac:dyDescent="0.3">
      <c r="A10" s="14" t="s">
        <v>67</v>
      </c>
      <c r="G10" s="14" t="s">
        <v>69</v>
      </c>
      <c r="M10" s="14" t="s">
        <v>70</v>
      </c>
    </row>
    <row r="11" spans="1:16" x14ac:dyDescent="0.25">
      <c r="A11" s="3" t="s">
        <v>104</v>
      </c>
      <c r="B11" s="3" t="s">
        <v>42</v>
      </c>
      <c r="G11" s="3" t="s">
        <v>68</v>
      </c>
      <c r="H11" s="3" t="s">
        <v>42</v>
      </c>
      <c r="M11" s="3" t="s">
        <v>43</v>
      </c>
      <c r="N11" s="3" t="s">
        <v>42</v>
      </c>
    </row>
    <row r="12" spans="1:16" x14ac:dyDescent="0.25">
      <c r="A12" s="3" t="s">
        <v>40</v>
      </c>
      <c r="B12" t="s">
        <v>18</v>
      </c>
      <c r="C12" t="s">
        <v>15</v>
      </c>
      <c r="D12" t="s">
        <v>41</v>
      </c>
      <c r="G12" s="3" t="s">
        <v>40</v>
      </c>
      <c r="H12" t="s">
        <v>18</v>
      </c>
      <c r="I12" t="s">
        <v>15</v>
      </c>
      <c r="J12" t="s">
        <v>41</v>
      </c>
      <c r="M12" s="3" t="s">
        <v>40</v>
      </c>
      <c r="N12" t="s">
        <v>18</v>
      </c>
      <c r="O12" t="s">
        <v>15</v>
      </c>
      <c r="P12" t="s">
        <v>41</v>
      </c>
    </row>
    <row r="13" spans="1:16" x14ac:dyDescent="0.25">
      <c r="A13" s="4" t="s">
        <v>44</v>
      </c>
      <c r="B13">
        <v>282</v>
      </c>
      <c r="C13">
        <v>332</v>
      </c>
      <c r="D13">
        <v>614</v>
      </c>
      <c r="G13" s="4" t="s">
        <v>38</v>
      </c>
      <c r="H13">
        <v>250</v>
      </c>
      <c r="I13">
        <v>239</v>
      </c>
      <c r="J13">
        <v>489</v>
      </c>
      <c r="M13" s="4" t="s">
        <v>36</v>
      </c>
      <c r="N13">
        <v>307</v>
      </c>
      <c r="O13">
        <v>231</v>
      </c>
      <c r="P13">
        <v>538</v>
      </c>
    </row>
    <row r="14" spans="1:16" x14ac:dyDescent="0.25">
      <c r="A14" s="4" t="s">
        <v>65</v>
      </c>
      <c r="B14">
        <v>166</v>
      </c>
      <c r="C14">
        <v>110</v>
      </c>
      <c r="D14">
        <v>276</v>
      </c>
      <c r="G14" s="4" t="s">
        <v>39</v>
      </c>
      <c r="H14">
        <v>269</v>
      </c>
      <c r="I14">
        <v>242</v>
      </c>
      <c r="J14">
        <v>511</v>
      </c>
      <c r="M14" s="4" t="s">
        <v>37</v>
      </c>
      <c r="N14">
        <v>212</v>
      </c>
      <c r="O14">
        <v>250</v>
      </c>
      <c r="P14">
        <v>462</v>
      </c>
    </row>
    <row r="15" spans="1:16" x14ac:dyDescent="0.25">
      <c r="A15" s="4" t="s">
        <v>66</v>
      </c>
      <c r="B15">
        <v>71</v>
      </c>
      <c r="C15">
        <v>39</v>
      </c>
      <c r="D15">
        <v>110</v>
      </c>
      <c r="G15" s="4" t="s">
        <v>41</v>
      </c>
      <c r="H15">
        <v>519</v>
      </c>
      <c r="I15">
        <v>481</v>
      </c>
      <c r="J15">
        <v>1000</v>
      </c>
      <c r="M15" s="4" t="s">
        <v>41</v>
      </c>
      <c r="N15">
        <v>519</v>
      </c>
      <c r="O15">
        <v>481</v>
      </c>
      <c r="P15">
        <v>1000</v>
      </c>
    </row>
    <row r="16" spans="1:16" x14ac:dyDescent="0.25">
      <c r="A16" s="4" t="s">
        <v>41</v>
      </c>
      <c r="B16">
        <v>519</v>
      </c>
      <c r="C16">
        <v>481</v>
      </c>
      <c r="D16">
        <v>1000</v>
      </c>
    </row>
    <row r="34" spans="1:16" ht="21" x14ac:dyDescent="0.35">
      <c r="A34" s="15" t="s">
        <v>48</v>
      </c>
    </row>
    <row r="35" spans="1:16" ht="18.75" x14ac:dyDescent="0.3">
      <c r="A35" s="14" t="s">
        <v>72</v>
      </c>
      <c r="G35" s="14" t="s">
        <v>76</v>
      </c>
      <c r="M35" s="14" t="s">
        <v>77</v>
      </c>
    </row>
    <row r="36" spans="1:16" x14ac:dyDescent="0.25">
      <c r="A36" s="3" t="s">
        <v>43</v>
      </c>
      <c r="B36" s="3" t="s">
        <v>42</v>
      </c>
      <c r="G36" s="3" t="s">
        <v>43</v>
      </c>
      <c r="H36" s="3" t="s">
        <v>42</v>
      </c>
      <c r="M36" s="3" t="s">
        <v>43</v>
      </c>
      <c r="N36" s="3" t="s">
        <v>42</v>
      </c>
    </row>
    <row r="37" spans="1:16" x14ac:dyDescent="0.25">
      <c r="A37" s="3" t="s">
        <v>40</v>
      </c>
      <c r="B37" t="s">
        <v>18</v>
      </c>
      <c r="C37" t="s">
        <v>15</v>
      </c>
      <c r="D37" t="s">
        <v>41</v>
      </c>
      <c r="G37" s="3" t="s">
        <v>40</v>
      </c>
      <c r="H37" t="s">
        <v>18</v>
      </c>
      <c r="I37" t="s">
        <v>15</v>
      </c>
      <c r="J37" t="s">
        <v>41</v>
      </c>
      <c r="M37" s="3" t="s">
        <v>40</v>
      </c>
      <c r="N37" t="s">
        <v>18</v>
      </c>
      <c r="O37" t="s">
        <v>15</v>
      </c>
      <c r="P37" t="s">
        <v>41</v>
      </c>
    </row>
    <row r="38" spans="1:16" x14ac:dyDescent="0.25">
      <c r="A38" s="4" t="s">
        <v>73</v>
      </c>
      <c r="B38">
        <v>104</v>
      </c>
      <c r="C38">
        <v>89</v>
      </c>
      <c r="D38">
        <v>193</v>
      </c>
      <c r="G38" s="4" t="s">
        <v>13</v>
      </c>
      <c r="H38">
        <v>137</v>
      </c>
      <c r="I38">
        <v>169</v>
      </c>
      <c r="J38">
        <v>306</v>
      </c>
      <c r="M38" s="4" t="s">
        <v>79</v>
      </c>
      <c r="N38">
        <v>161</v>
      </c>
      <c r="O38">
        <v>156</v>
      </c>
      <c r="P38">
        <v>317</v>
      </c>
    </row>
    <row r="39" spans="1:16" x14ac:dyDescent="0.25">
      <c r="A39" s="4" t="s">
        <v>74</v>
      </c>
      <c r="B39">
        <v>20</v>
      </c>
      <c r="C39">
        <v>22</v>
      </c>
      <c r="D39">
        <v>42</v>
      </c>
      <c r="G39" s="4" t="s">
        <v>31</v>
      </c>
      <c r="H39">
        <v>80</v>
      </c>
      <c r="I39">
        <v>94</v>
      </c>
      <c r="J39">
        <v>174</v>
      </c>
      <c r="M39" s="4" t="s">
        <v>78</v>
      </c>
      <c r="N39">
        <v>358</v>
      </c>
      <c r="O39">
        <v>325</v>
      </c>
      <c r="P39">
        <v>683</v>
      </c>
    </row>
    <row r="40" spans="1:16" x14ac:dyDescent="0.25">
      <c r="A40" s="4" t="s">
        <v>75</v>
      </c>
      <c r="B40">
        <v>395</v>
      </c>
      <c r="C40">
        <v>370</v>
      </c>
      <c r="D40">
        <v>765</v>
      </c>
      <c r="G40" s="4" t="s">
        <v>27</v>
      </c>
      <c r="H40">
        <v>100</v>
      </c>
      <c r="I40">
        <v>79</v>
      </c>
      <c r="J40">
        <v>179</v>
      </c>
      <c r="M40" s="4" t="s">
        <v>41</v>
      </c>
      <c r="N40">
        <v>519</v>
      </c>
      <c r="O40">
        <v>481</v>
      </c>
      <c r="P40">
        <v>1000</v>
      </c>
    </row>
    <row r="41" spans="1:16" x14ac:dyDescent="0.25">
      <c r="A41" s="4" t="s">
        <v>41</v>
      </c>
      <c r="B41">
        <v>519</v>
      </c>
      <c r="C41">
        <v>481</v>
      </c>
      <c r="D41">
        <v>1000</v>
      </c>
      <c r="G41" s="4" t="s">
        <v>19</v>
      </c>
      <c r="H41">
        <v>146</v>
      </c>
      <c r="I41">
        <v>119</v>
      </c>
      <c r="J41">
        <v>265</v>
      </c>
    </row>
    <row r="42" spans="1:16" x14ac:dyDescent="0.25">
      <c r="G42" s="4" t="s">
        <v>29</v>
      </c>
      <c r="H42">
        <v>56</v>
      </c>
      <c r="I42">
        <v>20</v>
      </c>
      <c r="J42">
        <v>76</v>
      </c>
    </row>
    <row r="43" spans="1:16" x14ac:dyDescent="0.25">
      <c r="G43" s="4" t="s">
        <v>41</v>
      </c>
      <c r="H43">
        <v>519</v>
      </c>
      <c r="I43">
        <v>481</v>
      </c>
      <c r="J43">
        <v>1000</v>
      </c>
    </row>
    <row r="61" spans="1:16" ht="21" x14ac:dyDescent="0.35">
      <c r="A61" s="15" t="s">
        <v>49</v>
      </c>
    </row>
    <row r="62" spans="1:16" ht="18.75" x14ac:dyDescent="0.3">
      <c r="A62" s="14" t="s">
        <v>80</v>
      </c>
      <c r="G62" s="14" t="s">
        <v>81</v>
      </c>
      <c r="M62" s="14" t="s">
        <v>82</v>
      </c>
    </row>
    <row r="63" spans="1:16" x14ac:dyDescent="0.25">
      <c r="A63" s="3" t="s">
        <v>43</v>
      </c>
      <c r="B63" s="3" t="s">
        <v>42</v>
      </c>
      <c r="G63" s="3" t="s">
        <v>43</v>
      </c>
      <c r="H63" s="3" t="s">
        <v>42</v>
      </c>
      <c r="M63" s="3" t="s">
        <v>43</v>
      </c>
      <c r="N63" s="3" t="s">
        <v>42</v>
      </c>
    </row>
    <row r="64" spans="1:16" x14ac:dyDescent="0.25">
      <c r="A64" s="3" t="s">
        <v>40</v>
      </c>
      <c r="B64" t="s">
        <v>18</v>
      </c>
      <c r="C64" t="s">
        <v>15</v>
      </c>
      <c r="D64" t="s">
        <v>41</v>
      </c>
      <c r="G64" s="3" t="s">
        <v>40</v>
      </c>
      <c r="H64" t="s">
        <v>18</v>
      </c>
      <c r="I64" t="s">
        <v>15</v>
      </c>
      <c r="J64" t="s">
        <v>41</v>
      </c>
      <c r="M64" s="3" t="s">
        <v>40</v>
      </c>
      <c r="N64" t="s">
        <v>18</v>
      </c>
      <c r="O64" t="s">
        <v>15</v>
      </c>
      <c r="P64" t="s">
        <v>41</v>
      </c>
    </row>
    <row r="65" spans="1:16" x14ac:dyDescent="0.25">
      <c r="A65" s="4" t="s">
        <v>16</v>
      </c>
      <c r="B65">
        <v>166</v>
      </c>
      <c r="C65">
        <v>200</v>
      </c>
      <c r="D65">
        <v>366</v>
      </c>
      <c r="G65" s="4" t="s">
        <v>17</v>
      </c>
      <c r="H65">
        <v>152</v>
      </c>
      <c r="I65">
        <v>148</v>
      </c>
      <c r="J65">
        <v>300</v>
      </c>
      <c r="M65" s="4" t="s">
        <v>83</v>
      </c>
      <c r="N65">
        <v>96</v>
      </c>
      <c r="O65">
        <v>151</v>
      </c>
      <c r="P65">
        <v>247</v>
      </c>
    </row>
    <row r="66" spans="1:16" x14ac:dyDescent="0.25">
      <c r="A66" s="4" t="s">
        <v>30</v>
      </c>
      <c r="B66">
        <v>78</v>
      </c>
      <c r="C66">
        <v>33</v>
      </c>
      <c r="D66">
        <v>111</v>
      </c>
      <c r="G66" s="4" t="s">
        <v>32</v>
      </c>
      <c r="H66">
        <v>288</v>
      </c>
      <c r="I66">
        <v>220</v>
      </c>
      <c r="J66">
        <v>508</v>
      </c>
      <c r="M66" s="4" t="s">
        <v>84</v>
      </c>
      <c r="N66">
        <v>115</v>
      </c>
      <c r="O66">
        <v>152</v>
      </c>
      <c r="P66">
        <v>267</v>
      </c>
    </row>
    <row r="67" spans="1:16" x14ac:dyDescent="0.25">
      <c r="A67" s="4" t="s">
        <v>26</v>
      </c>
      <c r="B67">
        <v>92</v>
      </c>
      <c r="C67">
        <v>77</v>
      </c>
      <c r="D67">
        <v>169</v>
      </c>
      <c r="G67" s="4" t="s">
        <v>24</v>
      </c>
      <c r="H67">
        <v>79</v>
      </c>
      <c r="I67">
        <v>113</v>
      </c>
      <c r="J67">
        <v>192</v>
      </c>
      <c r="M67" s="4" t="s">
        <v>85</v>
      </c>
      <c r="N67">
        <v>218</v>
      </c>
      <c r="O67">
        <v>124</v>
      </c>
      <c r="P67">
        <v>342</v>
      </c>
    </row>
    <row r="68" spans="1:16" x14ac:dyDescent="0.25">
      <c r="A68" s="4" t="s">
        <v>22</v>
      </c>
      <c r="B68">
        <v>67</v>
      </c>
      <c r="C68">
        <v>95</v>
      </c>
      <c r="D68">
        <v>162</v>
      </c>
      <c r="G68" s="4" t="s">
        <v>41</v>
      </c>
      <c r="H68">
        <v>519</v>
      </c>
      <c r="I68">
        <v>481</v>
      </c>
      <c r="J68">
        <v>1000</v>
      </c>
      <c r="M68" s="4" t="s">
        <v>86</v>
      </c>
      <c r="N68">
        <v>52</v>
      </c>
      <c r="O68">
        <v>33</v>
      </c>
      <c r="P68">
        <v>85</v>
      </c>
    </row>
    <row r="69" spans="1:16" x14ac:dyDescent="0.25">
      <c r="A69" s="4" t="s">
        <v>23</v>
      </c>
      <c r="B69">
        <v>116</v>
      </c>
      <c r="C69">
        <v>76</v>
      </c>
      <c r="D69">
        <v>192</v>
      </c>
      <c r="M69" s="4" t="s">
        <v>87</v>
      </c>
      <c r="N69">
        <v>38</v>
      </c>
      <c r="O69">
        <v>21</v>
      </c>
      <c r="P69">
        <v>59</v>
      </c>
    </row>
    <row r="70" spans="1:16" x14ac:dyDescent="0.25">
      <c r="A70" s="4" t="s">
        <v>41</v>
      </c>
      <c r="B70">
        <v>519</v>
      </c>
      <c r="C70">
        <v>481</v>
      </c>
      <c r="D70">
        <v>1000</v>
      </c>
      <c r="M70" s="4" t="s">
        <v>41</v>
      </c>
      <c r="N70">
        <v>519</v>
      </c>
      <c r="O70">
        <v>481</v>
      </c>
      <c r="P70">
        <v>1000</v>
      </c>
    </row>
    <row r="88" spans="1:4" ht="21" x14ac:dyDescent="0.35">
      <c r="A88" s="15" t="s">
        <v>50</v>
      </c>
    </row>
    <row r="89" spans="1:4" ht="18.75" x14ac:dyDescent="0.3">
      <c r="A89" s="14" t="s">
        <v>88</v>
      </c>
    </row>
    <row r="90" spans="1:4" x14ac:dyDescent="0.25">
      <c r="A90" s="3" t="s">
        <v>43</v>
      </c>
      <c r="B90" s="3" t="s">
        <v>42</v>
      </c>
    </row>
    <row r="91" spans="1:4" x14ac:dyDescent="0.25">
      <c r="A91" s="3" t="s">
        <v>40</v>
      </c>
      <c r="B91" t="s">
        <v>18</v>
      </c>
      <c r="C91" t="s">
        <v>15</v>
      </c>
      <c r="D91" t="s">
        <v>41</v>
      </c>
    </row>
    <row r="92" spans="1:4" x14ac:dyDescent="0.25">
      <c r="A92" s="4" t="s">
        <v>89</v>
      </c>
      <c r="B92">
        <v>139</v>
      </c>
      <c r="C92">
        <v>142</v>
      </c>
      <c r="D92">
        <v>281</v>
      </c>
    </row>
    <row r="93" spans="1:4" x14ac:dyDescent="0.25">
      <c r="A93" s="4" t="s">
        <v>90</v>
      </c>
      <c r="B93">
        <v>72</v>
      </c>
      <c r="C93">
        <v>97</v>
      </c>
      <c r="D93">
        <v>169</v>
      </c>
    </row>
    <row r="94" spans="1:4" x14ac:dyDescent="0.25">
      <c r="A94" s="4" t="s">
        <v>91</v>
      </c>
      <c r="B94">
        <v>112</v>
      </c>
      <c r="C94">
        <v>97</v>
      </c>
      <c r="D94">
        <v>209</v>
      </c>
    </row>
    <row r="95" spans="1:4" x14ac:dyDescent="0.25">
      <c r="A95" s="4" t="s">
        <v>92</v>
      </c>
      <c r="B95">
        <v>61</v>
      </c>
      <c r="C95">
        <v>73</v>
      </c>
      <c r="D95">
        <v>134</v>
      </c>
    </row>
    <row r="96" spans="1:4" x14ac:dyDescent="0.25">
      <c r="A96" s="4" t="s">
        <v>93</v>
      </c>
      <c r="B96">
        <v>72</v>
      </c>
      <c r="C96">
        <v>54</v>
      </c>
      <c r="D96">
        <v>126</v>
      </c>
    </row>
    <row r="97" spans="1:4" x14ac:dyDescent="0.25">
      <c r="A97" s="4" t="s">
        <v>94</v>
      </c>
      <c r="B97">
        <v>63</v>
      </c>
      <c r="C97">
        <v>18</v>
      </c>
      <c r="D97">
        <v>81</v>
      </c>
    </row>
    <row r="98" spans="1:4" x14ac:dyDescent="0.25">
      <c r="A98" s="4" t="s">
        <v>41</v>
      </c>
      <c r="B98">
        <v>519</v>
      </c>
      <c r="C98">
        <v>481</v>
      </c>
      <c r="D98">
        <v>1000</v>
      </c>
    </row>
    <row r="113" spans="1:17" x14ac:dyDescent="0.25">
      <c r="N113" s="3" t="s">
        <v>10</v>
      </c>
      <c r="O113" t="s">
        <v>96</v>
      </c>
    </row>
    <row r="114" spans="1:17" x14ac:dyDescent="0.25">
      <c r="N114" s="3" t="s">
        <v>71</v>
      </c>
      <c r="O114" t="s">
        <v>96</v>
      </c>
    </row>
    <row r="115" spans="1:17" x14ac:dyDescent="0.25">
      <c r="N115" s="3" t="s">
        <v>64</v>
      </c>
      <c r="O115" t="s">
        <v>96</v>
      </c>
    </row>
    <row r="116" spans="1:17" x14ac:dyDescent="0.25">
      <c r="A116" s="3" t="s">
        <v>12</v>
      </c>
      <c r="B116" t="s">
        <v>15</v>
      </c>
      <c r="N116" s="3" t="s">
        <v>1</v>
      </c>
      <c r="O116" t="s">
        <v>96</v>
      </c>
    </row>
    <row r="117" spans="1:17" ht="18.75" x14ac:dyDescent="0.3">
      <c r="A117" s="14" t="s">
        <v>95</v>
      </c>
      <c r="I117" s="14" t="s">
        <v>97</v>
      </c>
      <c r="N117" s="14" t="s">
        <v>98</v>
      </c>
    </row>
    <row r="118" spans="1:17" ht="15" customHeight="1" x14ac:dyDescent="0.25">
      <c r="A118" s="3" t="s">
        <v>43</v>
      </c>
      <c r="B118" s="3" t="s">
        <v>42</v>
      </c>
      <c r="I118" s="3" t="s">
        <v>40</v>
      </c>
      <c r="J118" t="s">
        <v>129</v>
      </c>
      <c r="K118" s="25" t="s">
        <v>134</v>
      </c>
      <c r="L118" s="25"/>
      <c r="N118" s="3" t="s">
        <v>43</v>
      </c>
      <c r="O118" s="3" t="s">
        <v>42</v>
      </c>
    </row>
    <row r="119" spans="1:17" ht="15" customHeight="1" x14ac:dyDescent="0.25">
      <c r="A119" s="3" t="s">
        <v>40</v>
      </c>
      <c r="B119" t="s">
        <v>16</v>
      </c>
      <c r="C119" t="s">
        <v>30</v>
      </c>
      <c r="D119" t="s">
        <v>26</v>
      </c>
      <c r="E119" t="s">
        <v>22</v>
      </c>
      <c r="F119" t="s">
        <v>23</v>
      </c>
      <c r="G119" t="s">
        <v>41</v>
      </c>
      <c r="I119" s="4" t="s">
        <v>33</v>
      </c>
      <c r="J119" s="21">
        <v>0.4887525562372188</v>
      </c>
      <c r="K119" s="25"/>
      <c r="L119" s="25"/>
      <c r="N119" s="3" t="s">
        <v>40</v>
      </c>
      <c r="O119" t="s">
        <v>18</v>
      </c>
      <c r="P119" t="s">
        <v>15</v>
      </c>
      <c r="Q119" t="s">
        <v>41</v>
      </c>
    </row>
    <row r="120" spans="1:17" x14ac:dyDescent="0.25">
      <c r="A120" s="4" t="s">
        <v>17</v>
      </c>
      <c r="B120">
        <v>105</v>
      </c>
      <c r="C120">
        <v>3</v>
      </c>
      <c r="D120">
        <v>16</v>
      </c>
      <c r="E120">
        <v>14</v>
      </c>
      <c r="F120">
        <v>10</v>
      </c>
      <c r="G120">
        <v>148</v>
      </c>
      <c r="I120" s="4" t="s">
        <v>34</v>
      </c>
      <c r="J120" s="21">
        <v>0.47358121330724068</v>
      </c>
      <c r="K120" s="25"/>
      <c r="L120" s="25"/>
      <c r="N120" s="4" t="s">
        <v>33</v>
      </c>
      <c r="O120">
        <v>250</v>
      </c>
      <c r="P120">
        <v>239</v>
      </c>
      <c r="Q120">
        <v>489</v>
      </c>
    </row>
    <row r="121" spans="1:17" x14ac:dyDescent="0.25">
      <c r="A121" s="5" t="s">
        <v>73</v>
      </c>
      <c r="B121">
        <v>3</v>
      </c>
      <c r="C121">
        <v>2</v>
      </c>
      <c r="E121">
        <v>4</v>
      </c>
      <c r="F121">
        <v>3</v>
      </c>
      <c r="G121">
        <v>12</v>
      </c>
      <c r="I121" s="4" t="s">
        <v>41</v>
      </c>
      <c r="J121" s="21">
        <v>0.48099999999999998</v>
      </c>
      <c r="K121" s="25"/>
      <c r="L121" s="25"/>
      <c r="N121" s="4" t="s">
        <v>34</v>
      </c>
      <c r="O121">
        <v>269</v>
      </c>
      <c r="P121">
        <v>242</v>
      </c>
      <c r="Q121">
        <v>511</v>
      </c>
    </row>
    <row r="122" spans="1:17" x14ac:dyDescent="0.25">
      <c r="A122" s="5" t="s">
        <v>74</v>
      </c>
      <c r="B122">
        <v>3</v>
      </c>
      <c r="C122">
        <v>1</v>
      </c>
      <c r="F122">
        <v>6</v>
      </c>
      <c r="G122">
        <v>10</v>
      </c>
      <c r="K122" s="22"/>
      <c r="L122" s="22"/>
      <c r="N122" s="4" t="s">
        <v>41</v>
      </c>
      <c r="O122">
        <v>519</v>
      </c>
      <c r="P122">
        <v>481</v>
      </c>
      <c r="Q122">
        <v>1000</v>
      </c>
    </row>
    <row r="123" spans="1:17" x14ac:dyDescent="0.25">
      <c r="A123" s="5" t="s">
        <v>75</v>
      </c>
      <c r="B123">
        <v>99</v>
      </c>
      <c r="D123">
        <v>16</v>
      </c>
      <c r="E123">
        <v>10</v>
      </c>
      <c r="F123">
        <v>1</v>
      </c>
      <c r="G123">
        <v>126</v>
      </c>
    </row>
    <row r="124" spans="1:17" ht="15" customHeight="1" x14ac:dyDescent="0.25">
      <c r="A124" s="4" t="s">
        <v>32</v>
      </c>
      <c r="B124">
        <v>57</v>
      </c>
      <c r="C124">
        <v>15</v>
      </c>
      <c r="D124">
        <v>46</v>
      </c>
      <c r="E124">
        <v>70</v>
      </c>
      <c r="F124">
        <v>32</v>
      </c>
      <c r="G124">
        <v>220</v>
      </c>
      <c r="I124" s="3" t="s">
        <v>40</v>
      </c>
      <c r="J124" t="s">
        <v>129</v>
      </c>
      <c r="K124" s="25" t="s">
        <v>133</v>
      </c>
      <c r="L124" s="25"/>
    </row>
    <row r="125" spans="1:17" x14ac:dyDescent="0.25">
      <c r="A125" s="5" t="s">
        <v>73</v>
      </c>
      <c r="B125">
        <v>14</v>
      </c>
      <c r="C125">
        <v>2</v>
      </c>
      <c r="D125">
        <v>10</v>
      </c>
      <c r="E125">
        <v>9</v>
      </c>
      <c r="F125">
        <v>6</v>
      </c>
      <c r="G125">
        <v>41</v>
      </c>
      <c r="I125" s="4" t="s">
        <v>44</v>
      </c>
      <c r="J125" s="21">
        <v>0.54071661237785018</v>
      </c>
      <c r="K125" s="25"/>
      <c r="L125" s="25"/>
    </row>
    <row r="126" spans="1:17" x14ac:dyDescent="0.25">
      <c r="A126" s="5" t="s">
        <v>74</v>
      </c>
      <c r="B126">
        <v>6</v>
      </c>
      <c r="E126">
        <v>1</v>
      </c>
      <c r="G126">
        <v>7</v>
      </c>
      <c r="I126" s="4" t="s">
        <v>65</v>
      </c>
      <c r="J126" s="21">
        <v>0.39855072463768115</v>
      </c>
      <c r="K126" s="25"/>
      <c r="L126" s="25"/>
    </row>
    <row r="127" spans="1:17" x14ac:dyDescent="0.25">
      <c r="A127" s="5" t="s">
        <v>75</v>
      </c>
      <c r="B127">
        <v>37</v>
      </c>
      <c r="C127">
        <v>13</v>
      </c>
      <c r="D127">
        <v>36</v>
      </c>
      <c r="E127">
        <v>60</v>
      </c>
      <c r="F127">
        <v>26</v>
      </c>
      <c r="G127">
        <v>172</v>
      </c>
      <c r="I127" s="4" t="s">
        <v>66</v>
      </c>
      <c r="J127" s="21">
        <v>0.35454545454545455</v>
      </c>
      <c r="K127" s="25"/>
      <c r="L127" s="25"/>
    </row>
    <row r="128" spans="1:17" x14ac:dyDescent="0.25">
      <c r="A128" s="4" t="s">
        <v>24</v>
      </c>
      <c r="B128">
        <v>38</v>
      </c>
      <c r="C128">
        <v>15</v>
      </c>
      <c r="D128">
        <v>15</v>
      </c>
      <c r="E128">
        <v>11</v>
      </c>
      <c r="F128">
        <v>34</v>
      </c>
      <c r="G128">
        <v>113</v>
      </c>
      <c r="I128" s="4" t="s">
        <v>41</v>
      </c>
      <c r="J128" s="21">
        <v>0.48099999999999998</v>
      </c>
      <c r="K128" s="22"/>
      <c r="L128" s="22"/>
    </row>
    <row r="129" spans="1:12" x14ac:dyDescent="0.25">
      <c r="A129" s="5" t="s">
        <v>73</v>
      </c>
      <c r="B129">
        <v>9</v>
      </c>
      <c r="C129">
        <v>12</v>
      </c>
      <c r="D129">
        <v>7</v>
      </c>
      <c r="E129">
        <v>5</v>
      </c>
      <c r="F129">
        <v>3</v>
      </c>
      <c r="G129">
        <v>36</v>
      </c>
    </row>
    <row r="130" spans="1:12" x14ac:dyDescent="0.25">
      <c r="A130" s="5" t="s">
        <v>74</v>
      </c>
      <c r="B130">
        <v>4</v>
      </c>
      <c r="E130">
        <v>1</v>
      </c>
      <c r="G130">
        <v>5</v>
      </c>
    </row>
    <row r="131" spans="1:12" ht="15" customHeight="1" x14ac:dyDescent="0.25">
      <c r="A131" s="5" t="s">
        <v>75</v>
      </c>
      <c r="B131">
        <v>25</v>
      </c>
      <c r="C131">
        <v>3</v>
      </c>
      <c r="D131">
        <v>8</v>
      </c>
      <c r="E131">
        <v>5</v>
      </c>
      <c r="F131">
        <v>31</v>
      </c>
      <c r="G131">
        <v>72</v>
      </c>
      <c r="I131" s="3" t="s">
        <v>40</v>
      </c>
      <c r="J131" t="s">
        <v>129</v>
      </c>
      <c r="K131" s="25" t="s">
        <v>130</v>
      </c>
      <c r="L131" s="25"/>
    </row>
    <row r="132" spans="1:12" x14ac:dyDescent="0.25">
      <c r="A132" s="4" t="s">
        <v>41</v>
      </c>
      <c r="B132">
        <v>200</v>
      </c>
      <c r="C132">
        <v>33</v>
      </c>
      <c r="D132">
        <v>77</v>
      </c>
      <c r="E132">
        <v>95</v>
      </c>
      <c r="F132">
        <v>76</v>
      </c>
      <c r="G132">
        <v>481</v>
      </c>
      <c r="I132" s="4" t="s">
        <v>73</v>
      </c>
      <c r="J132" s="21">
        <v>0.46113989637305697</v>
      </c>
      <c r="K132" s="25"/>
      <c r="L132" s="25"/>
    </row>
    <row r="133" spans="1:12" x14ac:dyDescent="0.25">
      <c r="I133" s="4" t="s">
        <v>74</v>
      </c>
      <c r="J133" s="21">
        <v>0.52380952380952384</v>
      </c>
      <c r="K133" s="25"/>
      <c r="L133" s="25"/>
    </row>
    <row r="134" spans="1:12" x14ac:dyDescent="0.25">
      <c r="I134" s="4" t="s">
        <v>75</v>
      </c>
      <c r="J134" s="21">
        <v>0.48366013071895425</v>
      </c>
      <c r="K134" s="25"/>
      <c r="L134" s="25"/>
    </row>
    <row r="135" spans="1:12" x14ac:dyDescent="0.25">
      <c r="I135" s="4" t="s">
        <v>41</v>
      </c>
      <c r="J135" s="21">
        <v>0.48099999999999998</v>
      </c>
      <c r="K135" s="22"/>
      <c r="L135" s="22"/>
    </row>
    <row r="138" spans="1:12" ht="15" customHeight="1" x14ac:dyDescent="0.25">
      <c r="I138" s="3" t="s">
        <v>40</v>
      </c>
      <c r="J138" t="s">
        <v>129</v>
      </c>
      <c r="K138" s="25" t="s">
        <v>135</v>
      </c>
      <c r="L138" s="25"/>
    </row>
    <row r="139" spans="1:12" x14ac:dyDescent="0.25">
      <c r="I139" s="4" t="s">
        <v>13</v>
      </c>
      <c r="J139" s="21">
        <v>0.55228758169934644</v>
      </c>
      <c r="K139" s="25"/>
      <c r="L139" s="25"/>
    </row>
    <row r="140" spans="1:12" x14ac:dyDescent="0.25">
      <c r="I140" s="4" t="s">
        <v>31</v>
      </c>
      <c r="J140" s="21">
        <v>0.54022988505747127</v>
      </c>
      <c r="K140" s="25"/>
      <c r="L140" s="25"/>
    </row>
    <row r="141" spans="1:12" x14ac:dyDescent="0.25">
      <c r="I141" s="4" t="s">
        <v>27</v>
      </c>
      <c r="J141" s="21">
        <v>0.44134078212290501</v>
      </c>
      <c r="K141" s="25"/>
      <c r="L141" s="25"/>
    </row>
    <row r="142" spans="1:12" x14ac:dyDescent="0.25">
      <c r="I142" s="4" t="s">
        <v>19</v>
      </c>
      <c r="J142" s="21">
        <v>0.44905660377358492</v>
      </c>
      <c r="K142" s="25"/>
      <c r="L142" s="25"/>
    </row>
    <row r="143" spans="1:12" x14ac:dyDescent="0.25">
      <c r="I143" s="4" t="s">
        <v>29</v>
      </c>
      <c r="J143" s="21">
        <v>0.26315789473684209</v>
      </c>
      <c r="K143" s="25"/>
      <c r="L143" s="25"/>
    </row>
    <row r="144" spans="1:12" x14ac:dyDescent="0.25">
      <c r="I144" s="4" t="s">
        <v>41</v>
      </c>
      <c r="J144" s="21">
        <v>0.48099999999999998</v>
      </c>
    </row>
    <row r="147" spans="9:13" ht="15" customHeight="1" x14ac:dyDescent="0.25">
      <c r="I147" s="3" t="s">
        <v>40</v>
      </c>
      <c r="J147" t="s">
        <v>129</v>
      </c>
      <c r="K147" s="25" t="s">
        <v>131</v>
      </c>
      <c r="L147" s="25"/>
    </row>
    <row r="148" spans="9:13" x14ac:dyDescent="0.25">
      <c r="I148" s="4" t="s">
        <v>17</v>
      </c>
      <c r="J148" s="21">
        <v>0.49333333333333335</v>
      </c>
      <c r="K148" s="25"/>
      <c r="L148" s="25"/>
    </row>
    <row r="149" spans="9:13" x14ac:dyDescent="0.25">
      <c r="I149" s="4" t="s">
        <v>32</v>
      </c>
      <c r="J149" s="21">
        <v>0.43307086614173229</v>
      </c>
      <c r="K149" s="25"/>
      <c r="L149" s="25"/>
    </row>
    <row r="150" spans="9:13" x14ac:dyDescent="0.25">
      <c r="I150" s="4" t="s">
        <v>24</v>
      </c>
      <c r="J150" s="21">
        <v>0.58854166666666663</v>
      </c>
      <c r="K150" s="25"/>
      <c r="L150" s="25"/>
    </row>
    <row r="151" spans="9:13" x14ac:dyDescent="0.25">
      <c r="I151" s="4" t="s">
        <v>41</v>
      </c>
      <c r="J151" s="21">
        <v>0.48099999999999998</v>
      </c>
      <c r="K151" s="25"/>
      <c r="L151" s="25"/>
    </row>
    <row r="154" spans="9:13" ht="15" customHeight="1" x14ac:dyDescent="0.25">
      <c r="I154" s="3" t="s">
        <v>129</v>
      </c>
      <c r="J154" s="3" t="s">
        <v>42</v>
      </c>
      <c r="M154" s="25" t="s">
        <v>132</v>
      </c>
    </row>
    <row r="155" spans="9:13" x14ac:dyDescent="0.25">
      <c r="I155" s="3" t="s">
        <v>40</v>
      </c>
      <c r="J155" t="s">
        <v>33</v>
      </c>
      <c r="K155" t="s">
        <v>34</v>
      </c>
      <c r="L155" t="s">
        <v>41</v>
      </c>
      <c r="M155" s="25"/>
    </row>
    <row r="156" spans="9:13" x14ac:dyDescent="0.25">
      <c r="I156" s="4" t="s">
        <v>44</v>
      </c>
      <c r="J156" s="21">
        <v>0.56168831168831168</v>
      </c>
      <c r="K156" s="21">
        <v>0.51960784313725494</v>
      </c>
      <c r="L156" s="21">
        <v>0.54071661237785018</v>
      </c>
      <c r="M156" s="25"/>
    </row>
    <row r="157" spans="9:13" x14ac:dyDescent="0.25">
      <c r="I157" s="4" t="s">
        <v>65</v>
      </c>
      <c r="J157" s="21">
        <v>0.37878787878787878</v>
      </c>
      <c r="K157" s="21">
        <v>0.41666666666666669</v>
      </c>
      <c r="L157" s="21">
        <v>0.39855072463768115</v>
      </c>
      <c r="M157" s="25"/>
    </row>
    <row r="158" spans="9:13" x14ac:dyDescent="0.25">
      <c r="I158" s="4" t="s">
        <v>66</v>
      </c>
      <c r="J158" s="21">
        <v>0.32653061224489793</v>
      </c>
      <c r="K158" s="21">
        <v>0.37704918032786883</v>
      </c>
      <c r="L158" s="21">
        <v>0.35454545454545455</v>
      </c>
      <c r="M158" s="25"/>
    </row>
    <row r="159" spans="9:13" x14ac:dyDescent="0.25">
      <c r="I159" s="4" t="s">
        <v>41</v>
      </c>
      <c r="J159" s="21">
        <v>0.4887525562372188</v>
      </c>
      <c r="K159" s="21">
        <v>0.47358121330724068</v>
      </c>
      <c r="L159" s="21">
        <v>0.48099999999999998</v>
      </c>
      <c r="M159" s="25"/>
    </row>
    <row r="161" spans="9:24" x14ac:dyDescent="0.25">
      <c r="I161" s="4"/>
      <c r="J161" s="4"/>
      <c r="K161" s="4"/>
      <c r="L161" s="4"/>
      <c r="M161" s="4"/>
      <c r="N161" s="4"/>
      <c r="O161" s="4"/>
      <c r="P161" s="4"/>
      <c r="Q161" s="4"/>
      <c r="R161" s="4"/>
      <c r="S161" s="4"/>
      <c r="T161" s="4"/>
      <c r="U161" s="4"/>
      <c r="V161" s="4"/>
      <c r="W161" s="4"/>
      <c r="X161" s="4"/>
    </row>
    <row r="162" spans="9:24" x14ac:dyDescent="0.25">
      <c r="I162" t="s">
        <v>136</v>
      </c>
      <c r="J162" s="21"/>
      <c r="K162" s="21"/>
      <c r="L162" s="21"/>
      <c r="M162" s="21"/>
      <c r="N162" s="21"/>
      <c r="O162" s="21"/>
      <c r="P162" s="21"/>
      <c r="Q162" s="21"/>
      <c r="R162" s="21"/>
      <c r="S162" s="21"/>
      <c r="T162" s="21"/>
      <c r="U162" s="21"/>
      <c r="V162" s="21"/>
      <c r="W162" s="21"/>
      <c r="X162" s="21"/>
    </row>
    <row r="163" spans="9:24" x14ac:dyDescent="0.25">
      <c r="I163" s="23">
        <v>0.48099999999999998</v>
      </c>
    </row>
  </sheetData>
  <mergeCells count="6">
    <mergeCell ref="K147:L151"/>
    <mergeCell ref="M154:M159"/>
    <mergeCell ref="K138:L143"/>
    <mergeCell ref="K118:L121"/>
    <mergeCell ref="K124:L127"/>
    <mergeCell ref="K131:L134"/>
  </mergeCells>
  <pageMargins left="0.7" right="0.7" top="0.75" bottom="0.75" header="0.3" footer="0.3"/>
  <drawing r:id="rId2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99E23-98CB-4AFB-9603-0567DBE5E745}">
  <dimension ref="A1:Y1001"/>
  <sheetViews>
    <sheetView workbookViewId="0">
      <selection activeCell="Y51" sqref="Y51"/>
    </sheetView>
  </sheetViews>
  <sheetFormatPr defaultRowHeight="15" x14ac:dyDescent="0.25"/>
  <cols>
    <col min="1" max="1" width="6" bestFit="1" customWidth="1"/>
    <col min="2" max="2" width="7.140625" customWidth="1"/>
    <col min="3" max="3" width="6.5703125" customWidth="1"/>
    <col min="4" max="4" width="9.85546875" bestFit="1" customWidth="1"/>
    <col min="26" max="26" width="19.85546875" bestFit="1" customWidth="1"/>
  </cols>
  <sheetData>
    <row r="1" spans="1:17" x14ac:dyDescent="0.25">
      <c r="A1" t="s">
        <v>0</v>
      </c>
      <c r="B1" t="s">
        <v>1</v>
      </c>
      <c r="C1" t="s">
        <v>2</v>
      </c>
      <c r="D1" t="s">
        <v>3</v>
      </c>
      <c r="E1" t="s">
        <v>4</v>
      </c>
      <c r="F1" t="s">
        <v>5</v>
      </c>
      <c r="G1" t="s">
        <v>6</v>
      </c>
      <c r="H1" t="s">
        <v>7</v>
      </c>
      <c r="I1" t="s">
        <v>8</v>
      </c>
      <c r="J1" t="s">
        <v>9</v>
      </c>
      <c r="K1" t="s">
        <v>10</v>
      </c>
      <c r="L1" t="s">
        <v>11</v>
      </c>
      <c r="M1" t="s">
        <v>64</v>
      </c>
      <c r="N1" t="s">
        <v>12</v>
      </c>
      <c r="O1" t="s">
        <v>71</v>
      </c>
      <c r="P1" t="s">
        <v>119</v>
      </c>
    </row>
    <row r="2" spans="1:17" hidden="1" x14ac:dyDescent="0.25">
      <c r="A2">
        <v>12496</v>
      </c>
      <c r="B2" t="s">
        <v>34</v>
      </c>
      <c r="C2" t="s">
        <v>33</v>
      </c>
      <c r="D2" s="2">
        <v>40000</v>
      </c>
      <c r="E2">
        <v>1</v>
      </c>
      <c r="F2" t="s">
        <v>13</v>
      </c>
      <c r="G2" t="s">
        <v>14</v>
      </c>
      <c r="H2" t="s">
        <v>15</v>
      </c>
      <c r="I2">
        <v>0</v>
      </c>
      <c r="J2" t="s">
        <v>16</v>
      </c>
      <c r="K2" t="s">
        <v>17</v>
      </c>
      <c r="L2">
        <v>42</v>
      </c>
      <c r="M2" t="str" cm="1">
        <f t="array" ref="M2">_xlfn.IFS(
L2&gt;50,"Old Age",
L2&gt;=31,"Middle Age",
L2&lt;31,"Young Age"
)</f>
        <v>Middle Age</v>
      </c>
      <c r="N2" t="s">
        <v>18</v>
      </c>
      <c r="O2" t="str" cm="1">
        <f t="array" ref="O2">_xlfn.IFS(D2&gt;120000, "High Income", D2&gt;=80000, "Average Income", D2&lt;80000, "Low Income")</f>
        <v>Low Income</v>
      </c>
      <c r="P2">
        <f>IF(Table24[[#This Row],[Purchased Bike]]="Yes",1,0)</f>
        <v>0</v>
      </c>
    </row>
    <row r="3" spans="1:17" hidden="1" x14ac:dyDescent="0.25">
      <c r="A3">
        <v>24107</v>
      </c>
      <c r="B3" t="s">
        <v>34</v>
      </c>
      <c r="C3" t="s">
        <v>34</v>
      </c>
      <c r="D3" s="2">
        <v>30000</v>
      </c>
      <c r="E3">
        <v>3</v>
      </c>
      <c r="F3" t="s">
        <v>19</v>
      </c>
      <c r="G3" t="s">
        <v>20</v>
      </c>
      <c r="H3" t="s">
        <v>15</v>
      </c>
      <c r="I3">
        <v>1</v>
      </c>
      <c r="J3" t="s">
        <v>16</v>
      </c>
      <c r="K3" t="s">
        <v>17</v>
      </c>
      <c r="L3">
        <v>43</v>
      </c>
      <c r="M3" t="str" cm="1">
        <f t="array" ref="M3">_xlfn.IFS(
L3&gt;50,"Old Age",
L3&gt;=31,"Middle Age",
L3&lt;31,"Young Age"
)</f>
        <v>Middle Age</v>
      </c>
      <c r="N3" t="s">
        <v>18</v>
      </c>
      <c r="O3" t="str" cm="1">
        <f t="array" ref="O3">_xlfn.IFS(D3&gt;120000, "High Income", D3&gt;=80000, "Average Income", D3&lt;80000, "Low Income")</f>
        <v>Low Income</v>
      </c>
      <c r="P3">
        <f>IF(Table24[[#This Row],[Purchased Bike]]="Yes",1,0)</f>
        <v>0</v>
      </c>
    </row>
    <row r="4" spans="1:17" hidden="1" x14ac:dyDescent="0.25">
      <c r="A4">
        <v>14177</v>
      </c>
      <c r="B4" t="s">
        <v>34</v>
      </c>
      <c r="C4" t="s">
        <v>34</v>
      </c>
      <c r="D4" s="2">
        <v>80000</v>
      </c>
      <c r="E4">
        <v>5</v>
      </c>
      <c r="F4" t="s">
        <v>19</v>
      </c>
      <c r="G4" t="s">
        <v>21</v>
      </c>
      <c r="H4" t="s">
        <v>18</v>
      </c>
      <c r="I4">
        <v>2</v>
      </c>
      <c r="J4" t="s">
        <v>22</v>
      </c>
      <c r="K4" t="s">
        <v>17</v>
      </c>
      <c r="L4">
        <v>60</v>
      </c>
      <c r="M4" t="str" cm="1">
        <f t="array" ref="M4">_xlfn.IFS(
L4&gt;50,"Old Age",
L4&gt;=31,"Middle Age",
L4&lt;31,"Young Age"
)</f>
        <v>Old Age</v>
      </c>
      <c r="N4" t="s">
        <v>18</v>
      </c>
      <c r="O4" t="str" cm="1">
        <f t="array" ref="O4">_xlfn.IFS(D4&gt;120000, "High Income", D4&gt;=80000, "Average Income", D4&lt;80000, "Low Income")</f>
        <v>Average Income</v>
      </c>
      <c r="P4">
        <f>IF(Table24[[#This Row],[Purchased Bike]]="Yes",1,0)</f>
        <v>0</v>
      </c>
    </row>
    <row r="5" spans="1:17" x14ac:dyDescent="0.25">
      <c r="A5">
        <v>24381</v>
      </c>
      <c r="B5" t="s">
        <v>35</v>
      </c>
      <c r="C5" t="s">
        <v>34</v>
      </c>
      <c r="D5" s="2">
        <v>70000</v>
      </c>
      <c r="E5">
        <v>0</v>
      </c>
      <c r="F5" t="s">
        <v>13</v>
      </c>
      <c r="G5" t="s">
        <v>21</v>
      </c>
      <c r="H5" t="s">
        <v>15</v>
      </c>
      <c r="I5">
        <v>1</v>
      </c>
      <c r="J5" t="s">
        <v>23</v>
      </c>
      <c r="K5" t="s">
        <v>24</v>
      </c>
      <c r="L5">
        <v>41</v>
      </c>
      <c r="M5" t="str" cm="1">
        <f t="array" ref="M5">_xlfn.IFS(
L5&gt;50,"Old Age",
L5&gt;=31,"Middle Age",
L5&lt;31,"Young Age"
)</f>
        <v>Middle Age</v>
      </c>
      <c r="N5" t="s">
        <v>15</v>
      </c>
      <c r="O5" t="str" cm="1">
        <f t="array" ref="O5">_xlfn.IFS(D5&gt;120000, "High Income", D5&gt;=80000, "Average Income", D5&lt;80000, "Low Income")</f>
        <v>Low Income</v>
      </c>
      <c r="P5">
        <f>IF(Table24[[#This Row],[Purchased Bike]]="Yes",1,0)</f>
        <v>1</v>
      </c>
      <c r="Q5" s="16"/>
    </row>
    <row r="6" spans="1:17" x14ac:dyDescent="0.25">
      <c r="A6">
        <v>25597</v>
      </c>
      <c r="B6" t="s">
        <v>35</v>
      </c>
      <c r="C6" t="s">
        <v>34</v>
      </c>
      <c r="D6" s="2">
        <v>30000</v>
      </c>
      <c r="E6">
        <v>0</v>
      </c>
      <c r="F6" t="s">
        <v>13</v>
      </c>
      <c r="G6" t="s">
        <v>20</v>
      </c>
      <c r="H6" t="s">
        <v>18</v>
      </c>
      <c r="I6">
        <v>0</v>
      </c>
      <c r="J6" t="s">
        <v>16</v>
      </c>
      <c r="K6" t="s">
        <v>17</v>
      </c>
      <c r="L6">
        <v>36</v>
      </c>
      <c r="M6" t="str" cm="1">
        <f t="array" ref="M6">_xlfn.IFS(
L6&gt;50,"Old Age",
L6&gt;=31,"Middle Age",
L6&lt;31,"Young Age"
)</f>
        <v>Middle Age</v>
      </c>
      <c r="N6" t="s">
        <v>15</v>
      </c>
      <c r="O6" t="str" cm="1">
        <f t="array" ref="O6">_xlfn.IFS(D6&gt;120000, "High Income", D6&gt;=80000, "Average Income", D6&lt;80000, "Low Income")</f>
        <v>Low Income</v>
      </c>
      <c r="P6">
        <f>IF(Table24[[#This Row],[Purchased Bike]]="Yes",1,0)</f>
        <v>1</v>
      </c>
    </row>
    <row r="7" spans="1:17" hidden="1" x14ac:dyDescent="0.25">
      <c r="A7">
        <v>13507</v>
      </c>
      <c r="B7" t="s">
        <v>34</v>
      </c>
      <c r="C7" t="s">
        <v>33</v>
      </c>
      <c r="D7" s="2">
        <v>10000</v>
      </c>
      <c r="E7">
        <v>2</v>
      </c>
      <c r="F7" t="s">
        <v>19</v>
      </c>
      <c r="G7" t="s">
        <v>25</v>
      </c>
      <c r="H7" t="s">
        <v>15</v>
      </c>
      <c r="I7">
        <v>0</v>
      </c>
      <c r="J7" t="s">
        <v>26</v>
      </c>
      <c r="K7" t="s">
        <v>17</v>
      </c>
      <c r="L7">
        <v>50</v>
      </c>
      <c r="M7" t="str" cm="1">
        <f t="array" ref="M7">_xlfn.IFS(
L7&gt;50,"Old Age",
L7&gt;=31,"Middle Age",
L7&lt;31,"Young Age"
)</f>
        <v>Middle Age</v>
      </c>
      <c r="N7" t="s">
        <v>18</v>
      </c>
      <c r="O7" t="str" cm="1">
        <f t="array" ref="O7">_xlfn.IFS(D7&gt;120000, "High Income", D7&gt;=80000, "Average Income", D7&lt;80000, "Low Income")</f>
        <v>Low Income</v>
      </c>
      <c r="P7">
        <f>IF(Table24[[#This Row],[Purchased Bike]]="Yes",1,0)</f>
        <v>0</v>
      </c>
    </row>
    <row r="8" spans="1:17" x14ac:dyDescent="0.25">
      <c r="A8">
        <v>27974</v>
      </c>
      <c r="B8" t="s">
        <v>35</v>
      </c>
      <c r="C8" t="s">
        <v>34</v>
      </c>
      <c r="D8" s="2">
        <v>160000</v>
      </c>
      <c r="E8">
        <v>2</v>
      </c>
      <c r="F8" t="s">
        <v>27</v>
      </c>
      <c r="G8" t="s">
        <v>28</v>
      </c>
      <c r="H8" t="s">
        <v>15</v>
      </c>
      <c r="I8">
        <v>4</v>
      </c>
      <c r="J8" t="s">
        <v>16</v>
      </c>
      <c r="K8" t="s">
        <v>24</v>
      </c>
      <c r="L8">
        <v>33</v>
      </c>
      <c r="M8" t="str" cm="1">
        <f t="array" ref="M8">_xlfn.IFS(
L8&gt;50,"Old Age",
L8&gt;=31,"Middle Age",
L8&lt;31,"Young Age"
)</f>
        <v>Middle Age</v>
      </c>
      <c r="N8" t="s">
        <v>15</v>
      </c>
      <c r="O8" t="str" cm="1">
        <f t="array" ref="O8">_xlfn.IFS(D8&gt;120000, "High Income", D8&gt;=80000, "Average Income", D8&lt;80000, "Low Income")</f>
        <v>High Income</v>
      </c>
      <c r="P8">
        <f>IF(Table24[[#This Row],[Purchased Bike]]="Yes",1,0)</f>
        <v>1</v>
      </c>
    </row>
    <row r="9" spans="1:17" x14ac:dyDescent="0.25">
      <c r="A9">
        <v>19364</v>
      </c>
      <c r="B9" t="s">
        <v>34</v>
      </c>
      <c r="C9" t="s">
        <v>34</v>
      </c>
      <c r="D9" s="2">
        <v>40000</v>
      </c>
      <c r="E9">
        <v>1</v>
      </c>
      <c r="F9" t="s">
        <v>13</v>
      </c>
      <c r="G9" t="s">
        <v>14</v>
      </c>
      <c r="H9" t="s">
        <v>15</v>
      </c>
      <c r="I9">
        <v>0</v>
      </c>
      <c r="J9" t="s">
        <v>16</v>
      </c>
      <c r="K9" t="s">
        <v>17</v>
      </c>
      <c r="L9">
        <v>43</v>
      </c>
      <c r="M9" t="str" cm="1">
        <f t="array" ref="M9">_xlfn.IFS(
L9&gt;50,"Old Age",
L9&gt;=31,"Middle Age",
L9&lt;31,"Young Age"
)</f>
        <v>Middle Age</v>
      </c>
      <c r="N9" t="s">
        <v>15</v>
      </c>
      <c r="O9" t="str" cm="1">
        <f t="array" ref="O9">_xlfn.IFS(D9&gt;120000, "High Income", D9&gt;=80000, "Average Income", D9&lt;80000, "Low Income")</f>
        <v>Low Income</v>
      </c>
      <c r="P9">
        <f>IF(Table24[[#This Row],[Purchased Bike]]="Yes",1,0)</f>
        <v>1</v>
      </c>
    </row>
    <row r="10" spans="1:17" hidden="1" x14ac:dyDescent="0.25">
      <c r="A10">
        <v>22155</v>
      </c>
      <c r="B10" t="s">
        <v>34</v>
      </c>
      <c r="C10" t="s">
        <v>34</v>
      </c>
      <c r="D10" s="2">
        <v>20000</v>
      </c>
      <c r="E10">
        <v>2</v>
      </c>
      <c r="F10" t="s">
        <v>29</v>
      </c>
      <c r="G10" t="s">
        <v>20</v>
      </c>
      <c r="H10" t="s">
        <v>15</v>
      </c>
      <c r="I10">
        <v>2</v>
      </c>
      <c r="J10" t="s">
        <v>23</v>
      </c>
      <c r="K10" t="s">
        <v>24</v>
      </c>
      <c r="L10">
        <v>58</v>
      </c>
      <c r="M10" t="str" cm="1">
        <f t="array" ref="M10">_xlfn.IFS(
L10&gt;50,"Old Age",
L10&gt;=31,"Middle Age",
L10&lt;31,"Young Age"
)</f>
        <v>Old Age</v>
      </c>
      <c r="N10" t="s">
        <v>18</v>
      </c>
      <c r="O10" t="str" cm="1">
        <f t="array" ref="O10">_xlfn.IFS(D10&gt;120000, "High Income", D10&gt;=80000, "Average Income", D10&lt;80000, "Low Income")</f>
        <v>Low Income</v>
      </c>
      <c r="P10">
        <f>IF(Table24[[#This Row],[Purchased Bike]]="Yes",1,0)</f>
        <v>0</v>
      </c>
    </row>
    <row r="11" spans="1:17" x14ac:dyDescent="0.25">
      <c r="A11">
        <v>19280</v>
      </c>
      <c r="B11" t="s">
        <v>34</v>
      </c>
      <c r="C11" t="s">
        <v>34</v>
      </c>
      <c r="D11" s="2">
        <v>120000</v>
      </c>
      <c r="E11">
        <v>2</v>
      </c>
      <c r="F11" t="s">
        <v>19</v>
      </c>
      <c r="G11" t="s">
        <v>25</v>
      </c>
      <c r="H11" t="s">
        <v>15</v>
      </c>
      <c r="I11">
        <v>1</v>
      </c>
      <c r="J11" t="s">
        <v>16</v>
      </c>
      <c r="K11" t="s">
        <v>17</v>
      </c>
      <c r="L11">
        <v>40</v>
      </c>
      <c r="M11" t="str" cm="1">
        <f t="array" ref="M11">_xlfn.IFS(
L11&gt;50,"Old Age",
L11&gt;=31,"Middle Age",
L11&lt;31,"Young Age"
)</f>
        <v>Middle Age</v>
      </c>
      <c r="N11" t="s">
        <v>15</v>
      </c>
      <c r="O11" t="str" cm="1">
        <f t="array" ref="O11">_xlfn.IFS(D11&gt;120000, "High Income", D11&gt;=80000, "Average Income", D11&lt;80000, "Low Income")</f>
        <v>Average Income</v>
      </c>
      <c r="P11">
        <f>IF(Table24[[#This Row],[Purchased Bike]]="Yes",1,0)</f>
        <v>1</v>
      </c>
    </row>
    <row r="12" spans="1:17" hidden="1" x14ac:dyDescent="0.25">
      <c r="A12">
        <v>22173</v>
      </c>
      <c r="B12" t="s">
        <v>34</v>
      </c>
      <c r="C12" t="s">
        <v>33</v>
      </c>
      <c r="D12" s="2">
        <v>30000</v>
      </c>
      <c r="E12">
        <v>3</v>
      </c>
      <c r="F12" t="s">
        <v>27</v>
      </c>
      <c r="G12" t="s">
        <v>14</v>
      </c>
      <c r="H12" t="s">
        <v>18</v>
      </c>
      <c r="I12">
        <v>2</v>
      </c>
      <c r="J12" t="s">
        <v>26</v>
      </c>
      <c r="K12" t="s">
        <v>24</v>
      </c>
      <c r="L12">
        <v>54</v>
      </c>
      <c r="M12" t="str" cm="1">
        <f t="array" ref="M12">_xlfn.IFS(
L12&gt;50,"Old Age",
L12&gt;=31,"Middle Age",
L12&lt;31,"Young Age"
)</f>
        <v>Old Age</v>
      </c>
      <c r="N12" t="s">
        <v>15</v>
      </c>
      <c r="O12" t="str" cm="1">
        <f t="array" ref="O12">_xlfn.IFS(D12&gt;120000, "High Income", D12&gt;=80000, "Average Income", D12&lt;80000, "Low Income")</f>
        <v>Low Income</v>
      </c>
      <c r="P12">
        <f>IF(Table24[[#This Row],[Purchased Bike]]="Yes",1,0)</f>
        <v>1</v>
      </c>
    </row>
    <row r="13" spans="1:17" hidden="1" x14ac:dyDescent="0.25">
      <c r="A13">
        <v>12697</v>
      </c>
      <c r="B13" t="s">
        <v>35</v>
      </c>
      <c r="C13" t="s">
        <v>33</v>
      </c>
      <c r="D13" s="2">
        <v>90000</v>
      </c>
      <c r="E13">
        <v>0</v>
      </c>
      <c r="F13" t="s">
        <v>13</v>
      </c>
      <c r="G13" t="s">
        <v>21</v>
      </c>
      <c r="H13" t="s">
        <v>18</v>
      </c>
      <c r="I13">
        <v>4</v>
      </c>
      <c r="J13" t="s">
        <v>30</v>
      </c>
      <c r="K13" t="s">
        <v>24</v>
      </c>
      <c r="L13">
        <v>36</v>
      </c>
      <c r="M13" t="str" cm="1">
        <f t="array" ref="M13">_xlfn.IFS(
L13&gt;50,"Old Age",
L13&gt;=31,"Middle Age",
L13&lt;31,"Young Age"
)</f>
        <v>Middle Age</v>
      </c>
      <c r="N13" t="s">
        <v>18</v>
      </c>
      <c r="O13" t="str" cm="1">
        <f t="array" ref="O13">_xlfn.IFS(D13&gt;120000, "High Income", D13&gt;=80000, "Average Income", D13&lt;80000, "Low Income")</f>
        <v>Average Income</v>
      </c>
      <c r="P13">
        <f>IF(Table24[[#This Row],[Purchased Bike]]="Yes",1,0)</f>
        <v>0</v>
      </c>
    </row>
    <row r="14" spans="1:17" hidden="1" x14ac:dyDescent="0.25">
      <c r="A14">
        <v>11434</v>
      </c>
      <c r="B14" t="s">
        <v>34</v>
      </c>
      <c r="C14" t="s">
        <v>34</v>
      </c>
      <c r="D14" s="2">
        <v>170000</v>
      </c>
      <c r="E14">
        <v>5</v>
      </c>
      <c r="F14" t="s">
        <v>19</v>
      </c>
      <c r="G14" t="s">
        <v>21</v>
      </c>
      <c r="H14" t="s">
        <v>15</v>
      </c>
      <c r="I14">
        <v>0</v>
      </c>
      <c r="J14" t="s">
        <v>16</v>
      </c>
      <c r="K14" t="s">
        <v>17</v>
      </c>
      <c r="L14">
        <v>55</v>
      </c>
      <c r="M14" t="str" cm="1">
        <f t="array" ref="M14">_xlfn.IFS(
L14&gt;50,"Old Age",
L14&gt;=31,"Middle Age",
L14&lt;31,"Young Age"
)</f>
        <v>Old Age</v>
      </c>
      <c r="N14" t="s">
        <v>18</v>
      </c>
      <c r="O14" t="str" cm="1">
        <f t="array" ref="O14">_xlfn.IFS(D14&gt;120000, "High Income", D14&gt;=80000, "Average Income", D14&lt;80000, "Low Income")</f>
        <v>High Income</v>
      </c>
      <c r="P14">
        <f>IF(Table24[[#This Row],[Purchased Bike]]="Yes",1,0)</f>
        <v>0</v>
      </c>
    </row>
    <row r="15" spans="1:17" x14ac:dyDescent="0.25">
      <c r="A15">
        <v>25323</v>
      </c>
      <c r="B15" t="s">
        <v>34</v>
      </c>
      <c r="C15" t="s">
        <v>34</v>
      </c>
      <c r="D15" s="2">
        <v>40000</v>
      </c>
      <c r="E15">
        <v>2</v>
      </c>
      <c r="F15" t="s">
        <v>19</v>
      </c>
      <c r="G15" t="s">
        <v>20</v>
      </c>
      <c r="H15" t="s">
        <v>15</v>
      </c>
      <c r="I15">
        <v>1</v>
      </c>
      <c r="J15" t="s">
        <v>26</v>
      </c>
      <c r="K15" t="s">
        <v>17</v>
      </c>
      <c r="L15">
        <v>35</v>
      </c>
      <c r="M15" t="str" cm="1">
        <f t="array" ref="M15">_xlfn.IFS(
L15&gt;50,"Old Age",
L15&gt;=31,"Middle Age",
L15&lt;31,"Young Age"
)</f>
        <v>Middle Age</v>
      </c>
      <c r="N15" t="s">
        <v>15</v>
      </c>
      <c r="O15" t="str" cm="1">
        <f t="array" ref="O15">_xlfn.IFS(D15&gt;120000, "High Income", D15&gt;=80000, "Average Income", D15&lt;80000, "Low Income")</f>
        <v>Low Income</v>
      </c>
      <c r="P15">
        <f>IF(Table24[[#This Row],[Purchased Bike]]="Yes",1,0)</f>
        <v>1</v>
      </c>
    </row>
    <row r="16" spans="1:17" x14ac:dyDescent="0.25">
      <c r="A16">
        <v>23542</v>
      </c>
      <c r="B16" t="s">
        <v>35</v>
      </c>
      <c r="C16" t="s">
        <v>34</v>
      </c>
      <c r="D16" s="2">
        <v>60000</v>
      </c>
      <c r="E16">
        <v>1</v>
      </c>
      <c r="F16" t="s">
        <v>19</v>
      </c>
      <c r="G16" t="s">
        <v>14</v>
      </c>
      <c r="H16" t="s">
        <v>18</v>
      </c>
      <c r="I16">
        <v>1</v>
      </c>
      <c r="J16" t="s">
        <v>16</v>
      </c>
      <c r="K16" t="s">
        <v>24</v>
      </c>
      <c r="L16">
        <v>45</v>
      </c>
      <c r="M16" t="str" cm="1">
        <f t="array" ref="M16">_xlfn.IFS(
L16&gt;50,"Old Age",
L16&gt;=31,"Middle Age",
L16&lt;31,"Young Age"
)</f>
        <v>Middle Age</v>
      </c>
      <c r="N16" t="s">
        <v>15</v>
      </c>
      <c r="O16" t="str" cm="1">
        <f t="array" ref="O16">_xlfn.IFS(D16&gt;120000, "High Income", D16&gt;=80000, "Average Income", D16&lt;80000, "Low Income")</f>
        <v>Low Income</v>
      </c>
      <c r="P16">
        <f>IF(Table24[[#This Row],[Purchased Bike]]="Yes",1,0)</f>
        <v>1</v>
      </c>
    </row>
    <row r="17" spans="1:16" x14ac:dyDescent="0.25">
      <c r="A17">
        <v>20870</v>
      </c>
      <c r="B17" t="s">
        <v>35</v>
      </c>
      <c r="C17" t="s">
        <v>33</v>
      </c>
      <c r="D17" s="2">
        <v>10000</v>
      </c>
      <c r="E17">
        <v>2</v>
      </c>
      <c r="F17" t="s">
        <v>27</v>
      </c>
      <c r="G17" t="s">
        <v>25</v>
      </c>
      <c r="H17" t="s">
        <v>15</v>
      </c>
      <c r="I17">
        <v>1</v>
      </c>
      <c r="J17" t="s">
        <v>16</v>
      </c>
      <c r="K17" t="s">
        <v>17</v>
      </c>
      <c r="L17">
        <v>38</v>
      </c>
      <c r="M17" t="str" cm="1">
        <f t="array" ref="M17">_xlfn.IFS(
L17&gt;50,"Old Age",
L17&gt;=31,"Middle Age",
L17&lt;31,"Young Age"
)</f>
        <v>Middle Age</v>
      </c>
      <c r="N17" t="s">
        <v>15</v>
      </c>
      <c r="O17" t="str" cm="1">
        <f t="array" ref="O17">_xlfn.IFS(D17&gt;120000, "High Income", D17&gt;=80000, "Average Income", D17&lt;80000, "Low Income")</f>
        <v>Low Income</v>
      </c>
      <c r="P17">
        <f>IF(Table24[[#This Row],[Purchased Bike]]="Yes",1,0)</f>
        <v>1</v>
      </c>
    </row>
    <row r="18" spans="1:16" hidden="1" x14ac:dyDescent="0.25">
      <c r="A18">
        <v>23316</v>
      </c>
      <c r="B18" t="s">
        <v>35</v>
      </c>
      <c r="C18" t="s">
        <v>34</v>
      </c>
      <c r="D18" s="2">
        <v>30000</v>
      </c>
      <c r="E18">
        <v>3</v>
      </c>
      <c r="F18" t="s">
        <v>19</v>
      </c>
      <c r="G18" t="s">
        <v>20</v>
      </c>
      <c r="H18" t="s">
        <v>18</v>
      </c>
      <c r="I18">
        <v>2</v>
      </c>
      <c r="J18" t="s">
        <v>26</v>
      </c>
      <c r="K18" t="s">
        <v>24</v>
      </c>
      <c r="L18">
        <v>59</v>
      </c>
      <c r="M18" t="str" cm="1">
        <f t="array" ref="M18">_xlfn.IFS(
L18&gt;50,"Old Age",
L18&gt;=31,"Middle Age",
L18&lt;31,"Young Age"
)</f>
        <v>Old Age</v>
      </c>
      <c r="N18" t="s">
        <v>15</v>
      </c>
      <c r="O18" t="str" cm="1">
        <f t="array" ref="O18">_xlfn.IFS(D18&gt;120000, "High Income", D18&gt;=80000, "Average Income", D18&lt;80000, "Low Income")</f>
        <v>Low Income</v>
      </c>
      <c r="P18">
        <f>IF(Table24[[#This Row],[Purchased Bike]]="Yes",1,0)</f>
        <v>1</v>
      </c>
    </row>
    <row r="19" spans="1:16" hidden="1" x14ac:dyDescent="0.25">
      <c r="A19">
        <v>12610</v>
      </c>
      <c r="B19" t="s">
        <v>34</v>
      </c>
      <c r="C19" t="s">
        <v>33</v>
      </c>
      <c r="D19" s="2">
        <v>30000</v>
      </c>
      <c r="E19">
        <v>1</v>
      </c>
      <c r="F19" t="s">
        <v>13</v>
      </c>
      <c r="G19" t="s">
        <v>20</v>
      </c>
      <c r="H19" t="s">
        <v>15</v>
      </c>
      <c r="I19">
        <v>0</v>
      </c>
      <c r="J19" t="s">
        <v>16</v>
      </c>
      <c r="K19" t="s">
        <v>17</v>
      </c>
      <c r="L19">
        <v>47</v>
      </c>
      <c r="M19" t="str" cm="1">
        <f t="array" ref="M19">_xlfn.IFS(
L19&gt;50,"Old Age",
L19&gt;=31,"Middle Age",
L19&lt;31,"Young Age"
)</f>
        <v>Middle Age</v>
      </c>
      <c r="N19" t="s">
        <v>18</v>
      </c>
      <c r="O19" t="str" cm="1">
        <f t="array" ref="O19">_xlfn.IFS(D19&gt;120000, "High Income", D19&gt;=80000, "Average Income", D19&lt;80000, "Low Income")</f>
        <v>Low Income</v>
      </c>
      <c r="P19">
        <f>IF(Table24[[#This Row],[Purchased Bike]]="Yes",1,0)</f>
        <v>0</v>
      </c>
    </row>
    <row r="20" spans="1:16" x14ac:dyDescent="0.25">
      <c r="A20">
        <v>27183</v>
      </c>
      <c r="B20" t="s">
        <v>35</v>
      </c>
      <c r="C20" t="s">
        <v>34</v>
      </c>
      <c r="D20" s="2">
        <v>40000</v>
      </c>
      <c r="E20">
        <v>2</v>
      </c>
      <c r="F20" t="s">
        <v>19</v>
      </c>
      <c r="G20" t="s">
        <v>20</v>
      </c>
      <c r="H20" t="s">
        <v>15</v>
      </c>
      <c r="I20">
        <v>1</v>
      </c>
      <c r="J20" t="s">
        <v>26</v>
      </c>
      <c r="K20" t="s">
        <v>17</v>
      </c>
      <c r="L20">
        <v>35</v>
      </c>
      <c r="M20" t="str" cm="1">
        <f t="array" ref="M20">_xlfn.IFS(
L20&gt;50,"Old Age",
L20&gt;=31,"Middle Age",
L20&lt;31,"Young Age"
)</f>
        <v>Middle Age</v>
      </c>
      <c r="N20" t="s">
        <v>15</v>
      </c>
      <c r="O20" t="str" cm="1">
        <f t="array" ref="O20">_xlfn.IFS(D20&gt;120000, "High Income", D20&gt;=80000, "Average Income", D20&lt;80000, "Low Income")</f>
        <v>Low Income</v>
      </c>
      <c r="P20">
        <f>IF(Table24[[#This Row],[Purchased Bike]]="Yes",1,0)</f>
        <v>1</v>
      </c>
    </row>
    <row r="21" spans="1:16" hidden="1" x14ac:dyDescent="0.25">
      <c r="A21">
        <v>25940</v>
      </c>
      <c r="B21" t="s">
        <v>35</v>
      </c>
      <c r="C21" t="s">
        <v>34</v>
      </c>
      <c r="D21" s="2">
        <v>20000</v>
      </c>
      <c r="E21">
        <v>2</v>
      </c>
      <c r="F21" t="s">
        <v>29</v>
      </c>
      <c r="G21" t="s">
        <v>20</v>
      </c>
      <c r="H21" t="s">
        <v>15</v>
      </c>
      <c r="I21">
        <v>2</v>
      </c>
      <c r="J21" t="s">
        <v>23</v>
      </c>
      <c r="K21" t="s">
        <v>24</v>
      </c>
      <c r="L21">
        <v>55</v>
      </c>
      <c r="M21" t="str" cm="1">
        <f t="array" ref="M21">_xlfn.IFS(
L21&gt;50,"Old Age",
L21&gt;=31,"Middle Age",
L21&lt;31,"Young Age"
)</f>
        <v>Old Age</v>
      </c>
      <c r="N21" t="s">
        <v>15</v>
      </c>
      <c r="O21" t="str" cm="1">
        <f t="array" ref="O21">_xlfn.IFS(D21&gt;120000, "High Income", D21&gt;=80000, "Average Income", D21&lt;80000, "Low Income")</f>
        <v>Low Income</v>
      </c>
      <c r="P21">
        <f>IF(Table24[[#This Row],[Purchased Bike]]="Yes",1,0)</f>
        <v>1</v>
      </c>
    </row>
    <row r="22" spans="1:16" x14ac:dyDescent="0.25">
      <c r="A22">
        <v>25598</v>
      </c>
      <c r="B22" t="s">
        <v>34</v>
      </c>
      <c r="C22" t="s">
        <v>33</v>
      </c>
      <c r="D22" s="2">
        <v>40000</v>
      </c>
      <c r="E22">
        <v>0</v>
      </c>
      <c r="F22" t="s">
        <v>31</v>
      </c>
      <c r="G22" t="s">
        <v>20</v>
      </c>
      <c r="H22" t="s">
        <v>15</v>
      </c>
      <c r="I22">
        <v>0</v>
      </c>
      <c r="J22" t="s">
        <v>16</v>
      </c>
      <c r="K22" t="s">
        <v>17</v>
      </c>
      <c r="L22">
        <v>36</v>
      </c>
      <c r="M22" t="str" cm="1">
        <f t="array" ref="M22">_xlfn.IFS(
L22&gt;50,"Old Age",
L22&gt;=31,"Middle Age",
L22&lt;31,"Young Age"
)</f>
        <v>Middle Age</v>
      </c>
      <c r="N22" t="s">
        <v>15</v>
      </c>
      <c r="O22" t="str" cm="1">
        <f t="array" ref="O22">_xlfn.IFS(D22&gt;120000, "High Income", D22&gt;=80000, "Average Income", D22&lt;80000, "Low Income")</f>
        <v>Low Income</v>
      </c>
      <c r="P22">
        <f>IF(Table24[[#This Row],[Purchased Bike]]="Yes",1,0)</f>
        <v>1</v>
      </c>
    </row>
    <row r="23" spans="1:16" hidden="1" x14ac:dyDescent="0.25">
      <c r="A23">
        <v>21564</v>
      </c>
      <c r="B23" t="s">
        <v>35</v>
      </c>
      <c r="C23" t="s">
        <v>33</v>
      </c>
      <c r="D23" s="2">
        <v>80000</v>
      </c>
      <c r="E23">
        <v>0</v>
      </c>
      <c r="F23" t="s">
        <v>13</v>
      </c>
      <c r="G23" t="s">
        <v>21</v>
      </c>
      <c r="H23" t="s">
        <v>15</v>
      </c>
      <c r="I23">
        <v>4</v>
      </c>
      <c r="J23" t="s">
        <v>30</v>
      </c>
      <c r="K23" t="s">
        <v>24</v>
      </c>
      <c r="L23">
        <v>35</v>
      </c>
      <c r="M23" t="str" cm="1">
        <f t="array" ref="M23">_xlfn.IFS(
L23&gt;50,"Old Age",
L23&gt;=31,"Middle Age",
L23&lt;31,"Young Age"
)</f>
        <v>Middle Age</v>
      </c>
      <c r="N23" t="s">
        <v>18</v>
      </c>
      <c r="O23" t="str" cm="1">
        <f t="array" ref="O23">_xlfn.IFS(D23&gt;120000, "High Income", D23&gt;=80000, "Average Income", D23&lt;80000, "Low Income")</f>
        <v>Average Income</v>
      </c>
      <c r="P23">
        <f>IF(Table24[[#This Row],[Purchased Bike]]="Yes",1,0)</f>
        <v>0</v>
      </c>
    </row>
    <row r="24" spans="1:16" x14ac:dyDescent="0.25">
      <c r="A24">
        <v>19193</v>
      </c>
      <c r="B24" t="s">
        <v>35</v>
      </c>
      <c r="C24" t="s">
        <v>34</v>
      </c>
      <c r="D24" s="2">
        <v>40000</v>
      </c>
      <c r="E24">
        <v>2</v>
      </c>
      <c r="F24" t="s">
        <v>19</v>
      </c>
      <c r="G24" t="s">
        <v>20</v>
      </c>
      <c r="H24" t="s">
        <v>15</v>
      </c>
      <c r="I24">
        <v>0</v>
      </c>
      <c r="J24" t="s">
        <v>26</v>
      </c>
      <c r="K24" t="s">
        <v>17</v>
      </c>
      <c r="L24">
        <v>35</v>
      </c>
      <c r="M24" t="str" cm="1">
        <f t="array" ref="M24">_xlfn.IFS(
L24&gt;50,"Old Age",
L24&gt;=31,"Middle Age",
L24&lt;31,"Young Age"
)</f>
        <v>Middle Age</v>
      </c>
      <c r="N24" t="s">
        <v>15</v>
      </c>
      <c r="O24" t="str" cm="1">
        <f t="array" ref="O24">_xlfn.IFS(D24&gt;120000, "High Income", D24&gt;=80000, "Average Income", D24&lt;80000, "Low Income")</f>
        <v>Low Income</v>
      </c>
      <c r="P24">
        <f>IF(Table24[[#This Row],[Purchased Bike]]="Yes",1,0)</f>
        <v>1</v>
      </c>
    </row>
    <row r="25" spans="1:16" hidden="1" x14ac:dyDescent="0.25">
      <c r="A25">
        <v>26412</v>
      </c>
      <c r="B25" t="s">
        <v>34</v>
      </c>
      <c r="C25" t="s">
        <v>33</v>
      </c>
      <c r="D25" s="2">
        <v>80000</v>
      </c>
      <c r="E25">
        <v>5</v>
      </c>
      <c r="F25" t="s">
        <v>27</v>
      </c>
      <c r="G25" t="s">
        <v>28</v>
      </c>
      <c r="H25" t="s">
        <v>18</v>
      </c>
      <c r="I25">
        <v>3</v>
      </c>
      <c r="J25" t="s">
        <v>23</v>
      </c>
      <c r="K25" t="s">
        <v>17</v>
      </c>
      <c r="L25">
        <v>56</v>
      </c>
      <c r="M25" t="str" cm="1">
        <f t="array" ref="M25">_xlfn.IFS(
L25&gt;50,"Old Age",
L25&gt;=31,"Middle Age",
L25&lt;31,"Young Age"
)</f>
        <v>Old Age</v>
      </c>
      <c r="N25" t="s">
        <v>18</v>
      </c>
      <c r="O25" t="str" cm="1">
        <f t="array" ref="O25">_xlfn.IFS(D25&gt;120000, "High Income", D25&gt;=80000, "Average Income", D25&lt;80000, "Low Income")</f>
        <v>Average Income</v>
      </c>
      <c r="P25">
        <f>IF(Table24[[#This Row],[Purchased Bike]]="Yes",1,0)</f>
        <v>0</v>
      </c>
    </row>
    <row r="26" spans="1:16" hidden="1" x14ac:dyDescent="0.25">
      <c r="A26">
        <v>27184</v>
      </c>
      <c r="B26" t="s">
        <v>35</v>
      </c>
      <c r="C26" t="s">
        <v>34</v>
      </c>
      <c r="D26" s="2">
        <v>40000</v>
      </c>
      <c r="E26">
        <v>2</v>
      </c>
      <c r="F26" t="s">
        <v>19</v>
      </c>
      <c r="G26" t="s">
        <v>20</v>
      </c>
      <c r="H26" t="s">
        <v>18</v>
      </c>
      <c r="I26">
        <v>1</v>
      </c>
      <c r="J26" t="s">
        <v>16</v>
      </c>
      <c r="K26" t="s">
        <v>17</v>
      </c>
      <c r="L26">
        <v>34</v>
      </c>
      <c r="M26" t="str" cm="1">
        <f t="array" ref="M26">_xlfn.IFS(
L26&gt;50,"Old Age",
L26&gt;=31,"Middle Age",
L26&lt;31,"Young Age"
)</f>
        <v>Middle Age</v>
      </c>
      <c r="N26" t="s">
        <v>18</v>
      </c>
      <c r="O26" t="str" cm="1">
        <f t="array" ref="O26">_xlfn.IFS(D26&gt;120000, "High Income", D26&gt;=80000, "Average Income", D26&lt;80000, "Low Income")</f>
        <v>Low Income</v>
      </c>
      <c r="P26">
        <f>IF(Table24[[#This Row],[Purchased Bike]]="Yes",1,0)</f>
        <v>0</v>
      </c>
    </row>
    <row r="27" spans="1:16" hidden="1" x14ac:dyDescent="0.25">
      <c r="A27">
        <v>12590</v>
      </c>
      <c r="B27" t="s">
        <v>35</v>
      </c>
      <c r="C27" t="s">
        <v>34</v>
      </c>
      <c r="D27" s="2">
        <v>30000</v>
      </c>
      <c r="E27">
        <v>1</v>
      </c>
      <c r="F27" t="s">
        <v>13</v>
      </c>
      <c r="G27" t="s">
        <v>20</v>
      </c>
      <c r="H27" t="s">
        <v>15</v>
      </c>
      <c r="I27">
        <v>0</v>
      </c>
      <c r="J27" t="s">
        <v>16</v>
      </c>
      <c r="K27" t="s">
        <v>17</v>
      </c>
      <c r="L27">
        <v>63</v>
      </c>
      <c r="M27" t="str" cm="1">
        <f t="array" ref="M27">_xlfn.IFS(
L27&gt;50,"Old Age",
L27&gt;=31,"Middle Age",
L27&lt;31,"Young Age"
)</f>
        <v>Old Age</v>
      </c>
      <c r="N27" t="s">
        <v>18</v>
      </c>
      <c r="O27" t="str" cm="1">
        <f t="array" ref="O27">_xlfn.IFS(D27&gt;120000, "High Income", D27&gt;=80000, "Average Income", D27&lt;80000, "Low Income")</f>
        <v>Low Income</v>
      </c>
      <c r="P27">
        <f>IF(Table24[[#This Row],[Purchased Bike]]="Yes",1,0)</f>
        <v>0</v>
      </c>
    </row>
    <row r="28" spans="1:16" hidden="1" x14ac:dyDescent="0.25">
      <c r="A28">
        <v>17841</v>
      </c>
      <c r="B28" t="s">
        <v>35</v>
      </c>
      <c r="C28" t="s">
        <v>34</v>
      </c>
      <c r="D28" s="2">
        <v>30000</v>
      </c>
      <c r="E28">
        <v>0</v>
      </c>
      <c r="F28" t="s">
        <v>19</v>
      </c>
      <c r="G28" t="s">
        <v>20</v>
      </c>
      <c r="H28" t="s">
        <v>18</v>
      </c>
      <c r="I28">
        <v>1</v>
      </c>
      <c r="J28" t="s">
        <v>16</v>
      </c>
      <c r="K28" t="s">
        <v>17</v>
      </c>
      <c r="L28">
        <v>29</v>
      </c>
      <c r="M28" t="str" cm="1">
        <f t="array" ref="M28">_xlfn.IFS(
L28&gt;50,"Old Age",
L28&gt;=31,"Middle Age",
L28&lt;31,"Young Age"
)</f>
        <v>Young Age</v>
      </c>
      <c r="N28" t="s">
        <v>15</v>
      </c>
      <c r="O28" t="str" cm="1">
        <f t="array" ref="O28">_xlfn.IFS(D28&gt;120000, "High Income", D28&gt;=80000, "Average Income", D28&lt;80000, "Low Income")</f>
        <v>Low Income</v>
      </c>
      <c r="P28">
        <f>IF(Table24[[#This Row],[Purchased Bike]]="Yes",1,0)</f>
        <v>1</v>
      </c>
    </row>
    <row r="29" spans="1:16" hidden="1" x14ac:dyDescent="0.25">
      <c r="A29">
        <v>18283</v>
      </c>
      <c r="B29" t="s">
        <v>35</v>
      </c>
      <c r="C29" t="s">
        <v>33</v>
      </c>
      <c r="D29" s="2">
        <v>100000</v>
      </c>
      <c r="E29">
        <v>0</v>
      </c>
      <c r="F29" t="s">
        <v>13</v>
      </c>
      <c r="G29" t="s">
        <v>21</v>
      </c>
      <c r="H29" t="s">
        <v>18</v>
      </c>
      <c r="I29">
        <v>1</v>
      </c>
      <c r="J29" t="s">
        <v>23</v>
      </c>
      <c r="K29" t="s">
        <v>24</v>
      </c>
      <c r="L29">
        <v>40</v>
      </c>
      <c r="M29" t="str" cm="1">
        <f t="array" ref="M29">_xlfn.IFS(
L29&gt;50,"Old Age",
L29&gt;=31,"Middle Age",
L29&lt;31,"Young Age"
)</f>
        <v>Middle Age</v>
      </c>
      <c r="N29" t="s">
        <v>18</v>
      </c>
      <c r="O29" t="str" cm="1">
        <f t="array" ref="O29">_xlfn.IFS(D29&gt;120000, "High Income", D29&gt;=80000, "Average Income", D29&lt;80000, "Low Income")</f>
        <v>Average Income</v>
      </c>
      <c r="P29">
        <f>IF(Table24[[#This Row],[Purchased Bike]]="Yes",1,0)</f>
        <v>0</v>
      </c>
    </row>
    <row r="30" spans="1:16" hidden="1" x14ac:dyDescent="0.25">
      <c r="A30">
        <v>18299</v>
      </c>
      <c r="B30" t="s">
        <v>34</v>
      </c>
      <c r="C30" t="s">
        <v>34</v>
      </c>
      <c r="D30" s="2">
        <v>70000</v>
      </c>
      <c r="E30">
        <v>5</v>
      </c>
      <c r="F30" t="s">
        <v>19</v>
      </c>
      <c r="G30" t="s">
        <v>14</v>
      </c>
      <c r="H30" t="s">
        <v>15</v>
      </c>
      <c r="I30">
        <v>2</v>
      </c>
      <c r="J30" t="s">
        <v>23</v>
      </c>
      <c r="K30" t="s">
        <v>24</v>
      </c>
      <c r="L30">
        <v>44</v>
      </c>
      <c r="M30" t="str" cm="1">
        <f t="array" ref="M30">_xlfn.IFS(
L30&gt;50,"Old Age",
L30&gt;=31,"Middle Age",
L30&lt;31,"Young Age"
)</f>
        <v>Middle Age</v>
      </c>
      <c r="N30" t="s">
        <v>18</v>
      </c>
      <c r="O30" t="str" cm="1">
        <f t="array" ref="O30">_xlfn.IFS(D30&gt;120000, "High Income", D30&gt;=80000, "Average Income", D30&lt;80000, "Low Income")</f>
        <v>Low Income</v>
      </c>
      <c r="P30">
        <f>IF(Table24[[#This Row],[Purchased Bike]]="Yes",1,0)</f>
        <v>0</v>
      </c>
    </row>
    <row r="31" spans="1:16" x14ac:dyDescent="0.25">
      <c r="A31">
        <v>16466</v>
      </c>
      <c r="B31" t="s">
        <v>35</v>
      </c>
      <c r="C31" t="s">
        <v>33</v>
      </c>
      <c r="D31" s="2">
        <v>20000</v>
      </c>
      <c r="E31">
        <v>0</v>
      </c>
      <c r="F31" t="s">
        <v>29</v>
      </c>
      <c r="G31" t="s">
        <v>25</v>
      </c>
      <c r="H31" t="s">
        <v>18</v>
      </c>
      <c r="I31">
        <v>2</v>
      </c>
      <c r="J31" t="s">
        <v>16</v>
      </c>
      <c r="K31" t="s">
        <v>17</v>
      </c>
      <c r="L31">
        <v>32</v>
      </c>
      <c r="M31" t="str" cm="1">
        <f t="array" ref="M31">_xlfn.IFS(
L31&gt;50,"Old Age",
L31&gt;=31,"Middle Age",
L31&lt;31,"Young Age"
)</f>
        <v>Middle Age</v>
      </c>
      <c r="N31" t="s">
        <v>15</v>
      </c>
      <c r="O31" t="str" cm="1">
        <f t="array" ref="O31">_xlfn.IFS(D31&gt;120000, "High Income", D31&gt;=80000, "Average Income", D31&lt;80000, "Low Income")</f>
        <v>Low Income</v>
      </c>
      <c r="P31">
        <f>IF(Table24[[#This Row],[Purchased Bike]]="Yes",1,0)</f>
        <v>1</v>
      </c>
    </row>
    <row r="32" spans="1:16" hidden="1" x14ac:dyDescent="0.25">
      <c r="A32">
        <v>19273</v>
      </c>
      <c r="B32" t="s">
        <v>34</v>
      </c>
      <c r="C32" t="s">
        <v>33</v>
      </c>
      <c r="D32" s="2">
        <v>20000</v>
      </c>
      <c r="E32">
        <v>2</v>
      </c>
      <c r="F32" t="s">
        <v>19</v>
      </c>
      <c r="G32" t="s">
        <v>25</v>
      </c>
      <c r="H32" t="s">
        <v>15</v>
      </c>
      <c r="I32">
        <v>0</v>
      </c>
      <c r="J32" t="s">
        <v>16</v>
      </c>
      <c r="K32" t="s">
        <v>17</v>
      </c>
      <c r="L32">
        <v>63</v>
      </c>
      <c r="M32" t="str" cm="1">
        <f t="array" ref="M32">_xlfn.IFS(
L32&gt;50,"Old Age",
L32&gt;=31,"Middle Age",
L32&lt;31,"Young Age"
)</f>
        <v>Old Age</v>
      </c>
      <c r="N32" t="s">
        <v>18</v>
      </c>
      <c r="O32" t="str" cm="1">
        <f t="array" ref="O32">_xlfn.IFS(D32&gt;120000, "High Income", D32&gt;=80000, "Average Income", D32&lt;80000, "Low Income")</f>
        <v>Low Income</v>
      </c>
      <c r="P32">
        <f>IF(Table24[[#This Row],[Purchased Bike]]="Yes",1,0)</f>
        <v>0</v>
      </c>
    </row>
    <row r="33" spans="1:16" hidden="1" x14ac:dyDescent="0.25">
      <c r="A33">
        <v>22400</v>
      </c>
      <c r="B33" t="s">
        <v>34</v>
      </c>
      <c r="C33" t="s">
        <v>34</v>
      </c>
      <c r="D33" s="2">
        <v>10000</v>
      </c>
      <c r="E33">
        <v>0</v>
      </c>
      <c r="F33" t="s">
        <v>19</v>
      </c>
      <c r="G33" t="s">
        <v>25</v>
      </c>
      <c r="H33" t="s">
        <v>18</v>
      </c>
      <c r="I33">
        <v>1</v>
      </c>
      <c r="J33" t="s">
        <v>16</v>
      </c>
      <c r="K33" t="s">
        <v>24</v>
      </c>
      <c r="L33">
        <v>26</v>
      </c>
      <c r="M33" t="str" cm="1">
        <f t="array" ref="M33">_xlfn.IFS(
L33&gt;50,"Old Age",
L33&gt;=31,"Middle Age",
L33&lt;31,"Young Age"
)</f>
        <v>Young Age</v>
      </c>
      <c r="N33" t="s">
        <v>15</v>
      </c>
      <c r="O33" t="str" cm="1">
        <f t="array" ref="O33">_xlfn.IFS(D33&gt;120000, "High Income", D33&gt;=80000, "Average Income", D33&lt;80000, "Low Income")</f>
        <v>Low Income</v>
      </c>
      <c r="P33">
        <f>IF(Table24[[#This Row],[Purchased Bike]]="Yes",1,0)</f>
        <v>1</v>
      </c>
    </row>
    <row r="34" spans="1:16" hidden="1" x14ac:dyDescent="0.25">
      <c r="A34">
        <v>20942</v>
      </c>
      <c r="B34" t="s">
        <v>35</v>
      </c>
      <c r="C34" t="s">
        <v>33</v>
      </c>
      <c r="D34" s="2">
        <v>20000</v>
      </c>
      <c r="E34">
        <v>0</v>
      </c>
      <c r="F34" t="s">
        <v>27</v>
      </c>
      <c r="G34" t="s">
        <v>25</v>
      </c>
      <c r="H34" t="s">
        <v>18</v>
      </c>
      <c r="I34">
        <v>1</v>
      </c>
      <c r="J34" t="s">
        <v>23</v>
      </c>
      <c r="K34" t="s">
        <v>17</v>
      </c>
      <c r="L34">
        <v>31</v>
      </c>
      <c r="M34" t="str" cm="1">
        <f t="array" ref="M34">_xlfn.IFS(
L34&gt;50,"Old Age",
L34&gt;=31,"Middle Age",
L34&lt;31,"Young Age"
)</f>
        <v>Middle Age</v>
      </c>
      <c r="N34" t="s">
        <v>18</v>
      </c>
      <c r="O34" t="str" cm="1">
        <f t="array" ref="O34">_xlfn.IFS(D34&gt;120000, "High Income", D34&gt;=80000, "Average Income", D34&lt;80000, "Low Income")</f>
        <v>Low Income</v>
      </c>
      <c r="P34">
        <f>IF(Table24[[#This Row],[Purchased Bike]]="Yes",1,0)</f>
        <v>0</v>
      </c>
    </row>
    <row r="35" spans="1:16" x14ac:dyDescent="0.25">
      <c r="A35">
        <v>18484</v>
      </c>
      <c r="B35" t="s">
        <v>35</v>
      </c>
      <c r="C35" t="s">
        <v>34</v>
      </c>
      <c r="D35" s="2">
        <v>80000</v>
      </c>
      <c r="E35">
        <v>2</v>
      </c>
      <c r="F35" t="s">
        <v>27</v>
      </c>
      <c r="G35" t="s">
        <v>14</v>
      </c>
      <c r="H35" t="s">
        <v>18</v>
      </c>
      <c r="I35">
        <v>2</v>
      </c>
      <c r="J35" t="s">
        <v>26</v>
      </c>
      <c r="K35" t="s">
        <v>24</v>
      </c>
      <c r="L35">
        <v>50</v>
      </c>
      <c r="M35" t="str" cm="1">
        <f t="array" ref="M35">_xlfn.IFS(
L35&gt;50,"Old Age",
L35&gt;=31,"Middle Age",
L35&lt;31,"Young Age"
)</f>
        <v>Middle Age</v>
      </c>
      <c r="N35" t="s">
        <v>15</v>
      </c>
      <c r="O35" t="str" cm="1">
        <f t="array" ref="O35">_xlfn.IFS(D35&gt;120000, "High Income", D35&gt;=80000, "Average Income", D35&lt;80000, "Low Income")</f>
        <v>Average Income</v>
      </c>
      <c r="P35">
        <f>IF(Table24[[#This Row],[Purchased Bike]]="Yes",1,0)</f>
        <v>1</v>
      </c>
    </row>
    <row r="36" spans="1:16" hidden="1" x14ac:dyDescent="0.25">
      <c r="A36">
        <v>12291</v>
      </c>
      <c r="B36" t="s">
        <v>35</v>
      </c>
      <c r="C36" t="s">
        <v>34</v>
      </c>
      <c r="D36" s="2">
        <v>90000</v>
      </c>
      <c r="E36">
        <v>5</v>
      </c>
      <c r="F36" t="s">
        <v>19</v>
      </c>
      <c r="G36" t="s">
        <v>21</v>
      </c>
      <c r="H36" t="s">
        <v>18</v>
      </c>
      <c r="I36">
        <v>2</v>
      </c>
      <c r="J36" t="s">
        <v>22</v>
      </c>
      <c r="K36" t="s">
        <v>17</v>
      </c>
      <c r="L36">
        <v>62</v>
      </c>
      <c r="M36" t="str" cm="1">
        <f t="array" ref="M36">_xlfn.IFS(
L36&gt;50,"Old Age",
L36&gt;=31,"Middle Age",
L36&lt;31,"Young Age"
)</f>
        <v>Old Age</v>
      </c>
      <c r="N36" t="s">
        <v>15</v>
      </c>
      <c r="O36" t="str" cm="1">
        <f t="array" ref="O36">_xlfn.IFS(D36&gt;120000, "High Income", D36&gt;=80000, "Average Income", D36&lt;80000, "Low Income")</f>
        <v>Average Income</v>
      </c>
      <c r="P36">
        <f>IF(Table24[[#This Row],[Purchased Bike]]="Yes",1,0)</f>
        <v>1</v>
      </c>
    </row>
    <row r="37" spans="1:16" hidden="1" x14ac:dyDescent="0.25">
      <c r="A37">
        <v>28380</v>
      </c>
      <c r="B37" t="s">
        <v>35</v>
      </c>
      <c r="C37" t="s">
        <v>33</v>
      </c>
      <c r="D37" s="2">
        <v>10000</v>
      </c>
      <c r="E37">
        <v>5</v>
      </c>
      <c r="F37" t="s">
        <v>29</v>
      </c>
      <c r="G37" t="s">
        <v>25</v>
      </c>
      <c r="H37" t="s">
        <v>18</v>
      </c>
      <c r="I37">
        <v>2</v>
      </c>
      <c r="J37" t="s">
        <v>16</v>
      </c>
      <c r="K37" t="s">
        <v>17</v>
      </c>
      <c r="L37">
        <v>41</v>
      </c>
      <c r="M37" t="str" cm="1">
        <f t="array" ref="M37">_xlfn.IFS(
L37&gt;50,"Old Age",
L37&gt;=31,"Middle Age",
L37&lt;31,"Young Age"
)</f>
        <v>Middle Age</v>
      </c>
      <c r="N37" t="s">
        <v>18</v>
      </c>
      <c r="O37" t="str" cm="1">
        <f t="array" ref="O37">_xlfn.IFS(D37&gt;120000, "High Income", D37&gt;=80000, "Average Income", D37&lt;80000, "Low Income")</f>
        <v>Low Income</v>
      </c>
      <c r="P37">
        <f>IF(Table24[[#This Row],[Purchased Bike]]="Yes",1,0)</f>
        <v>0</v>
      </c>
    </row>
    <row r="38" spans="1:16" x14ac:dyDescent="0.25">
      <c r="A38">
        <v>17891</v>
      </c>
      <c r="B38" t="s">
        <v>34</v>
      </c>
      <c r="C38" t="s">
        <v>33</v>
      </c>
      <c r="D38" s="2">
        <v>10000</v>
      </c>
      <c r="E38">
        <v>2</v>
      </c>
      <c r="F38" t="s">
        <v>19</v>
      </c>
      <c r="G38" t="s">
        <v>25</v>
      </c>
      <c r="H38" t="s">
        <v>15</v>
      </c>
      <c r="I38">
        <v>1</v>
      </c>
      <c r="J38" t="s">
        <v>16</v>
      </c>
      <c r="K38" t="s">
        <v>17</v>
      </c>
      <c r="L38">
        <v>50</v>
      </c>
      <c r="M38" t="str" cm="1">
        <f t="array" ref="M38">_xlfn.IFS(
L38&gt;50,"Old Age",
L38&gt;=31,"Middle Age",
L38&lt;31,"Young Age"
)</f>
        <v>Middle Age</v>
      </c>
      <c r="N38" t="s">
        <v>15</v>
      </c>
      <c r="O38" t="str" cm="1">
        <f t="array" ref="O38">_xlfn.IFS(D38&gt;120000, "High Income", D38&gt;=80000, "Average Income", D38&lt;80000, "Low Income")</f>
        <v>Low Income</v>
      </c>
      <c r="P38">
        <f>IF(Table24[[#This Row],[Purchased Bike]]="Yes",1,0)</f>
        <v>1</v>
      </c>
    </row>
    <row r="39" spans="1:16" hidden="1" x14ac:dyDescent="0.25">
      <c r="A39">
        <v>27832</v>
      </c>
      <c r="B39" t="s">
        <v>35</v>
      </c>
      <c r="C39" t="s">
        <v>33</v>
      </c>
      <c r="D39" s="2">
        <v>30000</v>
      </c>
      <c r="E39">
        <v>0</v>
      </c>
      <c r="F39" t="s">
        <v>19</v>
      </c>
      <c r="G39" t="s">
        <v>20</v>
      </c>
      <c r="H39" t="s">
        <v>18</v>
      </c>
      <c r="I39">
        <v>1</v>
      </c>
      <c r="J39" t="s">
        <v>22</v>
      </c>
      <c r="K39" t="s">
        <v>17</v>
      </c>
      <c r="L39">
        <v>30</v>
      </c>
      <c r="M39" t="str" cm="1">
        <f t="array" ref="M39">_xlfn.IFS(
L39&gt;50,"Old Age",
L39&gt;=31,"Middle Age",
L39&lt;31,"Young Age"
)</f>
        <v>Young Age</v>
      </c>
      <c r="N39" t="s">
        <v>18</v>
      </c>
      <c r="O39" t="str" cm="1">
        <f t="array" ref="O39">_xlfn.IFS(D39&gt;120000, "High Income", D39&gt;=80000, "Average Income", D39&lt;80000, "Low Income")</f>
        <v>Low Income</v>
      </c>
      <c r="P39">
        <f>IF(Table24[[#This Row],[Purchased Bike]]="Yes",1,0)</f>
        <v>0</v>
      </c>
    </row>
    <row r="40" spans="1:16" hidden="1" x14ac:dyDescent="0.25">
      <c r="A40">
        <v>26863</v>
      </c>
      <c r="B40" t="s">
        <v>35</v>
      </c>
      <c r="C40" t="s">
        <v>34</v>
      </c>
      <c r="D40" s="2">
        <v>20000</v>
      </c>
      <c r="E40">
        <v>0</v>
      </c>
      <c r="F40" t="s">
        <v>27</v>
      </c>
      <c r="G40" t="s">
        <v>25</v>
      </c>
      <c r="H40" t="s">
        <v>18</v>
      </c>
      <c r="I40">
        <v>1</v>
      </c>
      <c r="J40" t="s">
        <v>22</v>
      </c>
      <c r="K40" t="s">
        <v>17</v>
      </c>
      <c r="L40">
        <v>28</v>
      </c>
      <c r="M40" t="str" cm="1">
        <f t="array" ref="M40">_xlfn.IFS(
L40&gt;50,"Old Age",
L40&gt;=31,"Middle Age",
L40&lt;31,"Young Age"
)</f>
        <v>Young Age</v>
      </c>
      <c r="N40" t="s">
        <v>18</v>
      </c>
      <c r="O40" t="str" cm="1">
        <f t="array" ref="O40">_xlfn.IFS(D40&gt;120000, "High Income", D40&gt;=80000, "Average Income", D40&lt;80000, "Low Income")</f>
        <v>Low Income</v>
      </c>
      <c r="P40">
        <f>IF(Table24[[#This Row],[Purchased Bike]]="Yes",1,0)</f>
        <v>0</v>
      </c>
    </row>
    <row r="41" spans="1:16" x14ac:dyDescent="0.25">
      <c r="A41">
        <v>16259</v>
      </c>
      <c r="B41" t="s">
        <v>35</v>
      </c>
      <c r="C41" t="s">
        <v>33</v>
      </c>
      <c r="D41" s="2">
        <v>10000</v>
      </c>
      <c r="E41">
        <v>4</v>
      </c>
      <c r="F41" t="s">
        <v>29</v>
      </c>
      <c r="G41" t="s">
        <v>25</v>
      </c>
      <c r="H41" t="s">
        <v>15</v>
      </c>
      <c r="I41">
        <v>2</v>
      </c>
      <c r="J41" t="s">
        <v>16</v>
      </c>
      <c r="K41" t="s">
        <v>17</v>
      </c>
      <c r="L41">
        <v>40</v>
      </c>
      <c r="M41" t="str" cm="1">
        <f t="array" ref="M41">_xlfn.IFS(
L41&gt;50,"Old Age",
L41&gt;=31,"Middle Age",
L41&lt;31,"Young Age"
)</f>
        <v>Middle Age</v>
      </c>
      <c r="N41" t="s">
        <v>15</v>
      </c>
      <c r="O41" t="str" cm="1">
        <f t="array" ref="O41">_xlfn.IFS(D41&gt;120000, "High Income", D41&gt;=80000, "Average Income", D41&lt;80000, "Low Income")</f>
        <v>Low Income</v>
      </c>
      <c r="P41">
        <f>IF(Table24[[#This Row],[Purchased Bike]]="Yes",1,0)</f>
        <v>1</v>
      </c>
    </row>
    <row r="42" spans="1:16" hidden="1" x14ac:dyDescent="0.25">
      <c r="A42">
        <v>27803</v>
      </c>
      <c r="B42" t="s">
        <v>35</v>
      </c>
      <c r="C42" t="s">
        <v>33</v>
      </c>
      <c r="D42" s="2">
        <v>30000</v>
      </c>
      <c r="E42">
        <v>2</v>
      </c>
      <c r="F42" t="s">
        <v>19</v>
      </c>
      <c r="G42" t="s">
        <v>20</v>
      </c>
      <c r="H42" t="s">
        <v>18</v>
      </c>
      <c r="I42">
        <v>0</v>
      </c>
      <c r="J42" t="s">
        <v>16</v>
      </c>
      <c r="K42" t="s">
        <v>17</v>
      </c>
      <c r="L42">
        <v>43</v>
      </c>
      <c r="M42" t="str" cm="1">
        <f t="array" ref="M42">_xlfn.IFS(
L42&gt;50,"Old Age",
L42&gt;=31,"Middle Age",
L42&lt;31,"Young Age"
)</f>
        <v>Middle Age</v>
      </c>
      <c r="N42" t="s">
        <v>18</v>
      </c>
      <c r="O42" t="str" cm="1">
        <f t="array" ref="O42">_xlfn.IFS(D42&gt;120000, "High Income", D42&gt;=80000, "Average Income", D42&lt;80000, "Low Income")</f>
        <v>Low Income</v>
      </c>
      <c r="P42">
        <f>IF(Table24[[#This Row],[Purchased Bike]]="Yes",1,0)</f>
        <v>0</v>
      </c>
    </row>
    <row r="43" spans="1:16" hidden="1" x14ac:dyDescent="0.25">
      <c r="A43">
        <v>14347</v>
      </c>
      <c r="B43" t="s">
        <v>35</v>
      </c>
      <c r="C43" t="s">
        <v>33</v>
      </c>
      <c r="D43" s="2">
        <v>40000</v>
      </c>
      <c r="E43">
        <v>2</v>
      </c>
      <c r="F43" t="s">
        <v>13</v>
      </c>
      <c r="G43" t="s">
        <v>28</v>
      </c>
      <c r="H43" t="s">
        <v>15</v>
      </c>
      <c r="I43">
        <v>2</v>
      </c>
      <c r="J43" t="s">
        <v>23</v>
      </c>
      <c r="K43" t="s">
        <v>24</v>
      </c>
      <c r="L43">
        <v>65</v>
      </c>
      <c r="M43" t="str" cm="1">
        <f t="array" ref="M43">_xlfn.IFS(
L43&gt;50,"Old Age",
L43&gt;=31,"Middle Age",
L43&lt;31,"Young Age"
)</f>
        <v>Old Age</v>
      </c>
      <c r="N43" t="s">
        <v>15</v>
      </c>
      <c r="O43" t="str" cm="1">
        <f t="array" ref="O43">_xlfn.IFS(D43&gt;120000, "High Income", D43&gt;=80000, "Average Income", D43&lt;80000, "Low Income")</f>
        <v>Low Income</v>
      </c>
      <c r="P43">
        <f>IF(Table24[[#This Row],[Purchased Bike]]="Yes",1,0)</f>
        <v>1</v>
      </c>
    </row>
    <row r="44" spans="1:16" hidden="1" x14ac:dyDescent="0.25">
      <c r="A44">
        <v>17703</v>
      </c>
      <c r="B44" t="s">
        <v>34</v>
      </c>
      <c r="C44" t="s">
        <v>33</v>
      </c>
      <c r="D44" s="2">
        <v>10000</v>
      </c>
      <c r="E44">
        <v>1</v>
      </c>
      <c r="F44" t="s">
        <v>31</v>
      </c>
      <c r="G44" t="s">
        <v>25</v>
      </c>
      <c r="H44" t="s">
        <v>15</v>
      </c>
      <c r="I44">
        <v>0</v>
      </c>
      <c r="J44" t="s">
        <v>16</v>
      </c>
      <c r="K44" t="s">
        <v>17</v>
      </c>
      <c r="L44">
        <v>40</v>
      </c>
      <c r="M44" t="str" cm="1">
        <f t="array" ref="M44">_xlfn.IFS(
L44&gt;50,"Old Age",
L44&gt;=31,"Middle Age",
L44&lt;31,"Young Age"
)</f>
        <v>Middle Age</v>
      </c>
      <c r="N44" t="s">
        <v>18</v>
      </c>
      <c r="O44" t="str" cm="1">
        <f t="array" ref="O44">_xlfn.IFS(D44&gt;120000, "High Income", D44&gt;=80000, "Average Income", D44&lt;80000, "Low Income")</f>
        <v>Low Income</v>
      </c>
      <c r="P44">
        <f>IF(Table24[[#This Row],[Purchased Bike]]="Yes",1,0)</f>
        <v>0</v>
      </c>
    </row>
    <row r="45" spans="1:16" x14ac:dyDescent="0.25">
      <c r="A45">
        <v>17185</v>
      </c>
      <c r="B45" t="s">
        <v>34</v>
      </c>
      <c r="C45" t="s">
        <v>33</v>
      </c>
      <c r="D45" s="2">
        <v>170000</v>
      </c>
      <c r="E45">
        <v>4</v>
      </c>
      <c r="F45" t="s">
        <v>19</v>
      </c>
      <c r="G45" t="s">
        <v>21</v>
      </c>
      <c r="H45" t="s">
        <v>18</v>
      </c>
      <c r="I45">
        <v>3</v>
      </c>
      <c r="J45" t="s">
        <v>23</v>
      </c>
      <c r="K45" t="s">
        <v>17</v>
      </c>
      <c r="L45">
        <v>48</v>
      </c>
      <c r="M45" t="str" cm="1">
        <f t="array" ref="M45">_xlfn.IFS(
L45&gt;50,"Old Age",
L45&gt;=31,"Middle Age",
L45&lt;31,"Young Age"
)</f>
        <v>Middle Age</v>
      </c>
      <c r="N45" t="s">
        <v>15</v>
      </c>
      <c r="O45" t="str" cm="1">
        <f t="array" ref="O45">_xlfn.IFS(D45&gt;120000, "High Income", D45&gt;=80000, "Average Income", D45&lt;80000, "Low Income")</f>
        <v>High Income</v>
      </c>
      <c r="P45">
        <f>IF(Table24[[#This Row],[Purchased Bike]]="Yes",1,0)</f>
        <v>1</v>
      </c>
    </row>
    <row r="46" spans="1:16" x14ac:dyDescent="0.25">
      <c r="A46">
        <v>29380</v>
      </c>
      <c r="B46" t="s">
        <v>34</v>
      </c>
      <c r="C46" t="s">
        <v>33</v>
      </c>
      <c r="D46" s="2">
        <v>20000</v>
      </c>
      <c r="E46">
        <v>3</v>
      </c>
      <c r="F46" t="s">
        <v>27</v>
      </c>
      <c r="G46" t="s">
        <v>25</v>
      </c>
      <c r="H46" t="s">
        <v>15</v>
      </c>
      <c r="I46">
        <v>0</v>
      </c>
      <c r="J46" t="s">
        <v>16</v>
      </c>
      <c r="K46" t="s">
        <v>17</v>
      </c>
      <c r="L46">
        <v>41</v>
      </c>
      <c r="M46" t="str" cm="1">
        <f t="array" ref="M46">_xlfn.IFS(
L46&gt;50,"Old Age",
L46&gt;=31,"Middle Age",
L46&lt;31,"Young Age"
)</f>
        <v>Middle Age</v>
      </c>
      <c r="N46" t="s">
        <v>15</v>
      </c>
      <c r="O46" t="str" cm="1">
        <f t="array" ref="O46">_xlfn.IFS(D46&gt;120000, "High Income", D46&gt;=80000, "Average Income", D46&lt;80000, "Low Income")</f>
        <v>Low Income</v>
      </c>
      <c r="P46">
        <f>IF(Table24[[#This Row],[Purchased Bike]]="Yes",1,0)</f>
        <v>1</v>
      </c>
    </row>
    <row r="47" spans="1:16" hidden="1" x14ac:dyDescent="0.25">
      <c r="A47">
        <v>23986</v>
      </c>
      <c r="B47" t="s">
        <v>34</v>
      </c>
      <c r="C47" t="s">
        <v>33</v>
      </c>
      <c r="D47" s="2">
        <v>20000</v>
      </c>
      <c r="E47">
        <v>1</v>
      </c>
      <c r="F47" t="s">
        <v>13</v>
      </c>
      <c r="G47" t="s">
        <v>20</v>
      </c>
      <c r="H47" t="s">
        <v>15</v>
      </c>
      <c r="I47">
        <v>0</v>
      </c>
      <c r="J47" t="s">
        <v>16</v>
      </c>
      <c r="K47" t="s">
        <v>17</v>
      </c>
      <c r="L47">
        <v>66</v>
      </c>
      <c r="M47" t="str" cm="1">
        <f t="array" ref="M47">_xlfn.IFS(
L47&gt;50,"Old Age",
L47&gt;=31,"Middle Age",
L47&lt;31,"Young Age"
)</f>
        <v>Old Age</v>
      </c>
      <c r="N47" t="s">
        <v>15</v>
      </c>
      <c r="O47" t="str" cm="1">
        <f t="array" ref="O47">_xlfn.IFS(D47&gt;120000, "High Income", D47&gt;=80000, "Average Income", D47&lt;80000, "Low Income")</f>
        <v>Low Income</v>
      </c>
      <c r="P47">
        <f>IF(Table24[[#This Row],[Purchased Bike]]="Yes",1,0)</f>
        <v>1</v>
      </c>
    </row>
    <row r="48" spans="1:16" x14ac:dyDescent="0.25">
      <c r="A48">
        <v>24466</v>
      </c>
      <c r="B48" t="s">
        <v>34</v>
      </c>
      <c r="C48" t="s">
        <v>33</v>
      </c>
      <c r="D48" s="2">
        <v>60000</v>
      </c>
      <c r="E48">
        <v>1</v>
      </c>
      <c r="F48" t="s">
        <v>19</v>
      </c>
      <c r="G48" t="s">
        <v>14</v>
      </c>
      <c r="H48" t="s">
        <v>15</v>
      </c>
      <c r="I48">
        <v>1</v>
      </c>
      <c r="J48" t="s">
        <v>23</v>
      </c>
      <c r="K48" t="s">
        <v>24</v>
      </c>
      <c r="L48">
        <v>46</v>
      </c>
      <c r="M48" t="str" cm="1">
        <f t="array" ref="M48">_xlfn.IFS(
L48&gt;50,"Old Age",
L48&gt;=31,"Middle Age",
L48&lt;31,"Young Age"
)</f>
        <v>Middle Age</v>
      </c>
      <c r="N48" t="s">
        <v>15</v>
      </c>
      <c r="O48" t="str" cm="1">
        <f t="array" ref="O48">_xlfn.IFS(D48&gt;120000, "High Income", D48&gt;=80000, "Average Income", D48&lt;80000, "Low Income")</f>
        <v>Low Income</v>
      </c>
      <c r="P48">
        <f>IF(Table24[[#This Row],[Purchased Bike]]="Yes",1,0)</f>
        <v>1</v>
      </c>
    </row>
    <row r="49" spans="1:25" hidden="1" x14ac:dyDescent="0.25">
      <c r="A49">
        <v>29097</v>
      </c>
      <c r="B49" t="s">
        <v>35</v>
      </c>
      <c r="C49" t="s">
        <v>33</v>
      </c>
      <c r="D49" s="2">
        <v>40000</v>
      </c>
      <c r="E49">
        <v>2</v>
      </c>
      <c r="F49" t="s">
        <v>19</v>
      </c>
      <c r="G49" t="s">
        <v>14</v>
      </c>
      <c r="H49" t="s">
        <v>15</v>
      </c>
      <c r="I49">
        <v>2</v>
      </c>
      <c r="J49" t="s">
        <v>23</v>
      </c>
      <c r="K49" t="s">
        <v>24</v>
      </c>
      <c r="L49">
        <v>52</v>
      </c>
      <c r="M49" t="str" cm="1">
        <f t="array" ref="M49">_xlfn.IFS(
L49&gt;50,"Old Age",
L49&gt;=31,"Middle Age",
L49&lt;31,"Young Age"
)</f>
        <v>Old Age</v>
      </c>
      <c r="N49" t="s">
        <v>15</v>
      </c>
      <c r="O49" t="str" cm="1">
        <f t="array" ref="O49">_xlfn.IFS(D49&gt;120000, "High Income", D49&gt;=80000, "Average Income", D49&lt;80000, "Low Income")</f>
        <v>Low Income</v>
      </c>
      <c r="P49">
        <f>IF(Table24[[#This Row],[Purchased Bike]]="Yes",1,0)</f>
        <v>1</v>
      </c>
      <c r="X49" s="20" t="s">
        <v>120</v>
      </c>
      <c r="Y49" s="20" t="s">
        <v>121</v>
      </c>
    </row>
    <row r="50" spans="1:25" hidden="1" x14ac:dyDescent="0.25">
      <c r="A50">
        <v>19487</v>
      </c>
      <c r="B50" t="s">
        <v>34</v>
      </c>
      <c r="C50" t="s">
        <v>34</v>
      </c>
      <c r="D50" s="2">
        <v>30000</v>
      </c>
      <c r="E50">
        <v>2</v>
      </c>
      <c r="F50" t="s">
        <v>19</v>
      </c>
      <c r="G50" t="s">
        <v>20</v>
      </c>
      <c r="H50" t="s">
        <v>18</v>
      </c>
      <c r="I50">
        <v>2</v>
      </c>
      <c r="J50" t="s">
        <v>16</v>
      </c>
      <c r="K50" t="s">
        <v>17</v>
      </c>
      <c r="L50">
        <v>42</v>
      </c>
      <c r="M50" t="str" cm="1">
        <f t="array" ref="M50">_xlfn.IFS(
L50&gt;50,"Old Age",
L50&gt;=31,"Middle Age",
L50&lt;31,"Young Age"
)</f>
        <v>Middle Age</v>
      </c>
      <c r="N50" t="s">
        <v>18</v>
      </c>
      <c r="O50" t="str" cm="1">
        <f t="array" ref="O50">_xlfn.IFS(D50&gt;120000, "High Income", D50&gt;=80000, "Average Income", D50&lt;80000, "Low Income")</f>
        <v>Low Income</v>
      </c>
      <c r="P50">
        <f>IF(Table24[[#This Row],[Purchased Bike]]="Yes",1,0)</f>
        <v>0</v>
      </c>
      <c r="X50" s="19" t="s">
        <v>122</v>
      </c>
      <c r="Y50" s="19" t="s">
        <v>123</v>
      </c>
    </row>
    <row r="51" spans="1:25" x14ac:dyDescent="0.25">
      <c r="A51">
        <v>14939</v>
      </c>
      <c r="B51" t="s">
        <v>35</v>
      </c>
      <c r="C51" t="s">
        <v>34</v>
      </c>
      <c r="D51" s="2">
        <v>40000</v>
      </c>
      <c r="E51">
        <v>0</v>
      </c>
      <c r="F51" t="s">
        <v>13</v>
      </c>
      <c r="G51" t="s">
        <v>20</v>
      </c>
      <c r="H51" t="s">
        <v>15</v>
      </c>
      <c r="I51">
        <v>0</v>
      </c>
      <c r="J51" t="s">
        <v>16</v>
      </c>
      <c r="K51" t="s">
        <v>17</v>
      </c>
      <c r="L51">
        <v>39</v>
      </c>
      <c r="M51" t="str" cm="1">
        <f t="array" ref="M51">_xlfn.IFS(
L51&gt;50,"Old Age",
L51&gt;=31,"Middle Age",
L51&lt;31,"Young Age"
)</f>
        <v>Middle Age</v>
      </c>
      <c r="N51" t="s">
        <v>15</v>
      </c>
      <c r="O51" t="str" cm="1">
        <f t="array" ref="O51">_xlfn.IFS(D51&gt;120000, "High Income", D51&gt;=80000, "Average Income", D51&lt;80000, "Low Income")</f>
        <v>Low Income</v>
      </c>
      <c r="P51">
        <f>IF(Table24[[#This Row],[Purchased Bike]]="Yes",1,0)</f>
        <v>1</v>
      </c>
      <c r="X51" s="19"/>
      <c r="Y51" s="19"/>
    </row>
    <row r="52" spans="1:25" hidden="1" x14ac:dyDescent="0.25">
      <c r="A52">
        <v>13826</v>
      </c>
      <c r="B52" t="s">
        <v>35</v>
      </c>
      <c r="C52" t="s">
        <v>33</v>
      </c>
      <c r="D52" s="2">
        <v>30000</v>
      </c>
      <c r="E52">
        <v>0</v>
      </c>
      <c r="F52" t="s">
        <v>19</v>
      </c>
      <c r="G52" t="s">
        <v>20</v>
      </c>
      <c r="H52" t="s">
        <v>18</v>
      </c>
      <c r="I52">
        <v>1</v>
      </c>
      <c r="J52" t="s">
        <v>16</v>
      </c>
      <c r="K52" t="s">
        <v>17</v>
      </c>
      <c r="L52">
        <v>28</v>
      </c>
      <c r="M52" t="str" cm="1">
        <f t="array" ref="M52">_xlfn.IFS(
L52&gt;50,"Old Age",
L52&gt;=31,"Middle Age",
L52&lt;31,"Young Age"
)</f>
        <v>Young Age</v>
      </c>
      <c r="N52" t="s">
        <v>18</v>
      </c>
      <c r="O52" t="str" cm="1">
        <f t="array" ref="O52">_xlfn.IFS(D52&gt;120000, "High Income", D52&gt;=80000, "Average Income", D52&lt;80000, "Low Income")</f>
        <v>Low Income</v>
      </c>
      <c r="P52">
        <f>IF(Table24[[#This Row],[Purchased Bike]]="Yes",1,0)</f>
        <v>0</v>
      </c>
      <c r="X52" s="19" t="s">
        <v>9</v>
      </c>
      <c r="Y52" s="19" t="s">
        <v>124</v>
      </c>
    </row>
    <row r="53" spans="1:25" hidden="1" x14ac:dyDescent="0.25">
      <c r="A53">
        <v>20619</v>
      </c>
      <c r="B53" t="s">
        <v>35</v>
      </c>
      <c r="C53" t="s">
        <v>34</v>
      </c>
      <c r="D53" s="2">
        <v>80000</v>
      </c>
      <c r="E53">
        <v>0</v>
      </c>
      <c r="F53" t="s">
        <v>13</v>
      </c>
      <c r="G53" t="s">
        <v>21</v>
      </c>
      <c r="H53" t="s">
        <v>18</v>
      </c>
      <c r="I53">
        <v>4</v>
      </c>
      <c r="J53" t="s">
        <v>30</v>
      </c>
      <c r="K53" t="s">
        <v>24</v>
      </c>
      <c r="L53">
        <v>35</v>
      </c>
      <c r="M53" t="str" cm="1">
        <f t="array" ref="M53">_xlfn.IFS(
L53&gt;50,"Old Age",
L53&gt;=31,"Middle Age",
L53&lt;31,"Young Age"
)</f>
        <v>Middle Age</v>
      </c>
      <c r="N53" t="s">
        <v>18</v>
      </c>
      <c r="O53" t="str" cm="1">
        <f t="array" ref="O53">_xlfn.IFS(D53&gt;120000, "High Income", D53&gt;=80000, "Average Income", D53&lt;80000, "Low Income")</f>
        <v>Average Income</v>
      </c>
      <c r="P53">
        <f>IF(Table24[[#This Row],[Purchased Bike]]="Yes",1,0)</f>
        <v>0</v>
      </c>
      <c r="X53" s="19" t="s">
        <v>8</v>
      </c>
      <c r="Y53" s="19" t="s">
        <v>125</v>
      </c>
    </row>
    <row r="54" spans="1:25" hidden="1" x14ac:dyDescent="0.25">
      <c r="A54">
        <v>12558</v>
      </c>
      <c r="B54" t="s">
        <v>34</v>
      </c>
      <c r="C54" t="s">
        <v>33</v>
      </c>
      <c r="D54" s="2">
        <v>20000</v>
      </c>
      <c r="E54">
        <v>1</v>
      </c>
      <c r="F54" t="s">
        <v>13</v>
      </c>
      <c r="G54" t="s">
        <v>20</v>
      </c>
      <c r="H54" t="s">
        <v>15</v>
      </c>
      <c r="I54">
        <v>0</v>
      </c>
      <c r="J54" t="s">
        <v>16</v>
      </c>
      <c r="K54" t="s">
        <v>17</v>
      </c>
      <c r="L54">
        <v>65</v>
      </c>
      <c r="M54" t="str" cm="1">
        <f t="array" ref="M54">_xlfn.IFS(
L54&gt;50,"Old Age",
L54&gt;=31,"Middle Age",
L54&lt;31,"Young Age"
)</f>
        <v>Old Age</v>
      </c>
      <c r="N54" t="s">
        <v>18</v>
      </c>
      <c r="O54" t="str" cm="1">
        <f t="array" ref="O54">_xlfn.IFS(D54&gt;120000, "High Income", D54&gt;=80000, "Average Income", D54&lt;80000, "Low Income")</f>
        <v>Low Income</v>
      </c>
      <c r="P54">
        <f>IF(Table24[[#This Row],[Purchased Bike]]="Yes",1,0)</f>
        <v>0</v>
      </c>
      <c r="X54" s="19" t="s">
        <v>4</v>
      </c>
      <c r="Y54" s="19" t="s">
        <v>126</v>
      </c>
    </row>
    <row r="55" spans="1:25" hidden="1" x14ac:dyDescent="0.25">
      <c r="A55">
        <v>24871</v>
      </c>
      <c r="B55" t="s">
        <v>35</v>
      </c>
      <c r="C55" t="s">
        <v>33</v>
      </c>
      <c r="D55" s="2">
        <v>90000</v>
      </c>
      <c r="E55">
        <v>4</v>
      </c>
      <c r="F55" t="s">
        <v>27</v>
      </c>
      <c r="G55" t="s">
        <v>28</v>
      </c>
      <c r="H55" t="s">
        <v>18</v>
      </c>
      <c r="I55">
        <v>3</v>
      </c>
      <c r="J55" t="s">
        <v>23</v>
      </c>
      <c r="K55" t="s">
        <v>17</v>
      </c>
      <c r="L55">
        <v>56</v>
      </c>
      <c r="M55" t="str" cm="1">
        <f t="array" ref="M55">_xlfn.IFS(
L55&gt;50,"Old Age",
L55&gt;=31,"Middle Age",
L55&lt;31,"Young Age"
)</f>
        <v>Old Age</v>
      </c>
      <c r="N55" t="s">
        <v>18</v>
      </c>
      <c r="O55" t="str" cm="1">
        <f t="array" ref="O55">_xlfn.IFS(D55&gt;120000, "High Income", D55&gt;=80000, "Average Income", D55&lt;80000, "Low Income")</f>
        <v>Average Income</v>
      </c>
      <c r="P55">
        <f>IF(Table24[[#This Row],[Purchased Bike]]="Yes",1,0)</f>
        <v>0</v>
      </c>
      <c r="X55" s="19" t="s">
        <v>7</v>
      </c>
      <c r="Y55" s="19" t="s">
        <v>127</v>
      </c>
    </row>
    <row r="56" spans="1:25" hidden="1" x14ac:dyDescent="0.25">
      <c r="A56">
        <v>17319</v>
      </c>
      <c r="B56" t="s">
        <v>35</v>
      </c>
      <c r="C56" t="s">
        <v>33</v>
      </c>
      <c r="D56" s="2">
        <v>70000</v>
      </c>
      <c r="E56">
        <v>0</v>
      </c>
      <c r="F56" t="s">
        <v>13</v>
      </c>
      <c r="G56" t="s">
        <v>21</v>
      </c>
      <c r="H56" t="s">
        <v>18</v>
      </c>
      <c r="I56">
        <v>1</v>
      </c>
      <c r="J56" t="s">
        <v>23</v>
      </c>
      <c r="K56" t="s">
        <v>24</v>
      </c>
      <c r="L56">
        <v>42</v>
      </c>
      <c r="M56" t="str" cm="1">
        <f t="array" ref="M56">_xlfn.IFS(
L56&gt;50,"Old Age",
L56&gt;=31,"Middle Age",
L56&lt;31,"Young Age"
)</f>
        <v>Middle Age</v>
      </c>
      <c r="N56" t="s">
        <v>18</v>
      </c>
      <c r="O56" t="str" cm="1">
        <f t="array" ref="O56">_xlfn.IFS(D56&gt;120000, "High Income", D56&gt;=80000, "Average Income", D56&lt;80000, "Low Income")</f>
        <v>Low Income</v>
      </c>
      <c r="P56">
        <f>IF(Table24[[#This Row],[Purchased Bike]]="Yes",1,0)</f>
        <v>0</v>
      </c>
      <c r="X56" s="19" t="s">
        <v>10</v>
      </c>
      <c r="Y56" s="19" t="s">
        <v>128</v>
      </c>
    </row>
    <row r="57" spans="1:25" hidden="1" x14ac:dyDescent="0.25">
      <c r="A57">
        <v>28906</v>
      </c>
      <c r="B57" t="s">
        <v>34</v>
      </c>
      <c r="C57" t="s">
        <v>34</v>
      </c>
      <c r="D57" s="2">
        <v>80000</v>
      </c>
      <c r="E57">
        <v>4</v>
      </c>
      <c r="F57" t="s">
        <v>27</v>
      </c>
      <c r="G57" t="s">
        <v>21</v>
      </c>
      <c r="H57" t="s">
        <v>15</v>
      </c>
      <c r="I57">
        <v>2</v>
      </c>
      <c r="J57" t="s">
        <v>30</v>
      </c>
      <c r="K57" t="s">
        <v>17</v>
      </c>
      <c r="L57">
        <v>54</v>
      </c>
      <c r="M57" t="str" cm="1">
        <f t="array" ref="M57">_xlfn.IFS(
L57&gt;50,"Old Age",
L57&gt;=31,"Middle Age",
L57&lt;31,"Young Age"
)</f>
        <v>Old Age</v>
      </c>
      <c r="N57" t="s">
        <v>18</v>
      </c>
      <c r="O57" t="str" cm="1">
        <f t="array" ref="O57">_xlfn.IFS(D57&gt;120000, "High Income", D57&gt;=80000, "Average Income", D57&lt;80000, "Low Income")</f>
        <v>Average Income</v>
      </c>
      <c r="P57">
        <f>IF(Table24[[#This Row],[Purchased Bike]]="Yes",1,0)</f>
        <v>0</v>
      </c>
    </row>
    <row r="58" spans="1:25" x14ac:dyDescent="0.25">
      <c r="A58">
        <v>12808</v>
      </c>
      <c r="B58" t="s">
        <v>34</v>
      </c>
      <c r="C58" t="s">
        <v>34</v>
      </c>
      <c r="D58" s="2">
        <v>40000</v>
      </c>
      <c r="E58">
        <v>0</v>
      </c>
      <c r="F58" t="s">
        <v>13</v>
      </c>
      <c r="G58" t="s">
        <v>20</v>
      </c>
      <c r="H58" t="s">
        <v>15</v>
      </c>
      <c r="I58">
        <v>0</v>
      </c>
      <c r="J58" t="s">
        <v>16</v>
      </c>
      <c r="K58" t="s">
        <v>17</v>
      </c>
      <c r="L58">
        <v>38</v>
      </c>
      <c r="M58" t="str" cm="1">
        <f t="array" ref="M58">_xlfn.IFS(
L58&gt;50,"Old Age",
L58&gt;=31,"Middle Age",
L58&lt;31,"Young Age"
)</f>
        <v>Middle Age</v>
      </c>
      <c r="N58" t="s">
        <v>15</v>
      </c>
      <c r="O58" t="str" cm="1">
        <f t="array" ref="O58">_xlfn.IFS(D58&gt;120000, "High Income", D58&gt;=80000, "Average Income", D58&lt;80000, "Low Income")</f>
        <v>Low Income</v>
      </c>
      <c r="P58">
        <f>IF(Table24[[#This Row],[Purchased Bike]]="Yes",1,0)</f>
        <v>1</v>
      </c>
    </row>
    <row r="59" spans="1:25" hidden="1" x14ac:dyDescent="0.25">
      <c r="A59">
        <v>20567</v>
      </c>
      <c r="B59" t="s">
        <v>34</v>
      </c>
      <c r="C59" t="s">
        <v>34</v>
      </c>
      <c r="D59" s="2">
        <v>130000</v>
      </c>
      <c r="E59">
        <v>4</v>
      </c>
      <c r="F59" t="s">
        <v>19</v>
      </c>
      <c r="G59" t="s">
        <v>21</v>
      </c>
      <c r="H59" t="s">
        <v>18</v>
      </c>
      <c r="I59">
        <v>4</v>
      </c>
      <c r="J59" t="s">
        <v>23</v>
      </c>
      <c r="K59" t="s">
        <v>17</v>
      </c>
      <c r="L59">
        <v>61</v>
      </c>
      <c r="M59" t="str" cm="1">
        <f t="array" ref="M59">_xlfn.IFS(
L59&gt;50,"Old Age",
L59&gt;=31,"Middle Age",
L59&lt;31,"Young Age"
)</f>
        <v>Old Age</v>
      </c>
      <c r="N59" t="s">
        <v>15</v>
      </c>
      <c r="O59" t="str" cm="1">
        <f t="array" ref="O59">_xlfn.IFS(D59&gt;120000, "High Income", D59&gt;=80000, "Average Income", D59&lt;80000, "Low Income")</f>
        <v>High Income</v>
      </c>
      <c r="P59">
        <f>IF(Table24[[#This Row],[Purchased Bike]]="Yes",1,0)</f>
        <v>1</v>
      </c>
    </row>
    <row r="60" spans="1:25" x14ac:dyDescent="0.25">
      <c r="A60">
        <v>25502</v>
      </c>
      <c r="B60" t="s">
        <v>34</v>
      </c>
      <c r="C60" t="s">
        <v>33</v>
      </c>
      <c r="D60" s="2">
        <v>40000</v>
      </c>
      <c r="E60">
        <v>1</v>
      </c>
      <c r="F60" t="s">
        <v>13</v>
      </c>
      <c r="G60" t="s">
        <v>14</v>
      </c>
      <c r="H60" t="s">
        <v>15</v>
      </c>
      <c r="I60">
        <v>0</v>
      </c>
      <c r="J60" t="s">
        <v>16</v>
      </c>
      <c r="K60" t="s">
        <v>17</v>
      </c>
      <c r="L60">
        <v>43</v>
      </c>
      <c r="M60" t="str" cm="1">
        <f t="array" ref="M60">_xlfn.IFS(
L60&gt;50,"Old Age",
L60&gt;=31,"Middle Age",
L60&lt;31,"Young Age"
)</f>
        <v>Middle Age</v>
      </c>
      <c r="N60" t="s">
        <v>15</v>
      </c>
      <c r="O60" t="str" cm="1">
        <f t="array" ref="O60">_xlfn.IFS(D60&gt;120000, "High Income", D60&gt;=80000, "Average Income", D60&lt;80000, "Low Income")</f>
        <v>Low Income</v>
      </c>
      <c r="P60">
        <f>IF(Table24[[#This Row],[Purchased Bike]]="Yes",1,0)</f>
        <v>1</v>
      </c>
    </row>
    <row r="61" spans="1:25" x14ac:dyDescent="0.25">
      <c r="A61">
        <v>15580</v>
      </c>
      <c r="B61" t="s">
        <v>34</v>
      </c>
      <c r="C61" t="s">
        <v>34</v>
      </c>
      <c r="D61" s="2">
        <v>60000</v>
      </c>
      <c r="E61">
        <v>2</v>
      </c>
      <c r="F61" t="s">
        <v>13</v>
      </c>
      <c r="G61" t="s">
        <v>21</v>
      </c>
      <c r="H61" t="s">
        <v>15</v>
      </c>
      <c r="I61">
        <v>1</v>
      </c>
      <c r="J61" t="s">
        <v>22</v>
      </c>
      <c r="K61" t="s">
        <v>24</v>
      </c>
      <c r="L61">
        <v>38</v>
      </c>
      <c r="M61" t="str" cm="1">
        <f t="array" ref="M61">_xlfn.IFS(
L61&gt;50,"Old Age",
L61&gt;=31,"Middle Age",
L61&lt;31,"Young Age"
)</f>
        <v>Middle Age</v>
      </c>
      <c r="N61" t="s">
        <v>15</v>
      </c>
      <c r="O61" t="str" cm="1">
        <f t="array" ref="O61">_xlfn.IFS(D61&gt;120000, "High Income", D61&gt;=80000, "Average Income", D61&lt;80000, "Low Income")</f>
        <v>Low Income</v>
      </c>
      <c r="P61">
        <f>IF(Table24[[#This Row],[Purchased Bike]]="Yes",1,0)</f>
        <v>1</v>
      </c>
    </row>
    <row r="62" spans="1:25" hidden="1" x14ac:dyDescent="0.25">
      <c r="A62">
        <v>24185</v>
      </c>
      <c r="B62" t="s">
        <v>35</v>
      </c>
      <c r="C62" t="s">
        <v>33</v>
      </c>
      <c r="D62" s="2">
        <v>10000</v>
      </c>
      <c r="E62">
        <v>1</v>
      </c>
      <c r="F62" t="s">
        <v>27</v>
      </c>
      <c r="G62" t="s">
        <v>25</v>
      </c>
      <c r="H62" t="s">
        <v>18</v>
      </c>
      <c r="I62">
        <v>1</v>
      </c>
      <c r="J62" t="s">
        <v>26</v>
      </c>
      <c r="K62" t="s">
        <v>17</v>
      </c>
      <c r="L62">
        <v>45</v>
      </c>
      <c r="M62" t="str" cm="1">
        <f t="array" ref="M62">_xlfn.IFS(
L62&gt;50,"Old Age",
L62&gt;=31,"Middle Age",
L62&lt;31,"Young Age"
)</f>
        <v>Middle Age</v>
      </c>
      <c r="N62" t="s">
        <v>18</v>
      </c>
      <c r="O62" t="str" cm="1">
        <f t="array" ref="O62">_xlfn.IFS(D62&gt;120000, "High Income", D62&gt;=80000, "Average Income", D62&lt;80000, "Low Income")</f>
        <v>Low Income</v>
      </c>
      <c r="P62">
        <f>IF(Table24[[#This Row],[Purchased Bike]]="Yes",1,0)</f>
        <v>0</v>
      </c>
    </row>
    <row r="63" spans="1:25" hidden="1" x14ac:dyDescent="0.25">
      <c r="A63">
        <v>19291</v>
      </c>
      <c r="B63" t="s">
        <v>35</v>
      </c>
      <c r="C63" t="s">
        <v>33</v>
      </c>
      <c r="D63" s="2">
        <v>10000</v>
      </c>
      <c r="E63">
        <v>2</v>
      </c>
      <c r="F63" t="s">
        <v>27</v>
      </c>
      <c r="G63" t="s">
        <v>25</v>
      </c>
      <c r="H63" t="s">
        <v>15</v>
      </c>
      <c r="I63">
        <v>0</v>
      </c>
      <c r="J63" t="s">
        <v>16</v>
      </c>
      <c r="K63" t="s">
        <v>17</v>
      </c>
      <c r="L63">
        <v>35</v>
      </c>
      <c r="M63" t="str" cm="1">
        <f t="array" ref="M63">_xlfn.IFS(
L63&gt;50,"Old Age",
L63&gt;=31,"Middle Age",
L63&lt;31,"Young Age"
)</f>
        <v>Middle Age</v>
      </c>
      <c r="N63" t="s">
        <v>18</v>
      </c>
      <c r="O63" t="str" cm="1">
        <f t="array" ref="O63">_xlfn.IFS(D63&gt;120000, "High Income", D63&gt;=80000, "Average Income", D63&lt;80000, "Low Income")</f>
        <v>Low Income</v>
      </c>
      <c r="P63">
        <f>IF(Table24[[#This Row],[Purchased Bike]]="Yes",1,0)</f>
        <v>0</v>
      </c>
    </row>
    <row r="64" spans="1:25" hidden="1" x14ac:dyDescent="0.25">
      <c r="A64">
        <v>16713</v>
      </c>
      <c r="B64" t="s">
        <v>34</v>
      </c>
      <c r="C64" t="s">
        <v>34</v>
      </c>
      <c r="D64" s="2">
        <v>40000</v>
      </c>
      <c r="E64">
        <v>2</v>
      </c>
      <c r="F64" t="s">
        <v>13</v>
      </c>
      <c r="G64" t="s">
        <v>28</v>
      </c>
      <c r="H64" t="s">
        <v>15</v>
      </c>
      <c r="I64">
        <v>1</v>
      </c>
      <c r="J64" t="s">
        <v>16</v>
      </c>
      <c r="K64" t="s">
        <v>24</v>
      </c>
      <c r="L64">
        <v>52</v>
      </c>
      <c r="M64" t="str" cm="1">
        <f t="array" ref="M64">_xlfn.IFS(
L64&gt;50,"Old Age",
L64&gt;=31,"Middle Age",
L64&lt;31,"Young Age"
)</f>
        <v>Old Age</v>
      </c>
      <c r="N64" t="s">
        <v>15</v>
      </c>
      <c r="O64" t="str" cm="1">
        <f t="array" ref="O64">_xlfn.IFS(D64&gt;120000, "High Income", D64&gt;=80000, "Average Income", D64&lt;80000, "Low Income")</f>
        <v>Low Income</v>
      </c>
      <c r="P64">
        <f>IF(Table24[[#This Row],[Purchased Bike]]="Yes",1,0)</f>
        <v>1</v>
      </c>
    </row>
    <row r="65" spans="1:16" hidden="1" x14ac:dyDescent="0.25">
      <c r="A65">
        <v>16185</v>
      </c>
      <c r="B65" t="s">
        <v>35</v>
      </c>
      <c r="C65" t="s">
        <v>34</v>
      </c>
      <c r="D65" s="2">
        <v>60000</v>
      </c>
      <c r="E65">
        <v>4</v>
      </c>
      <c r="F65" t="s">
        <v>13</v>
      </c>
      <c r="G65" t="s">
        <v>21</v>
      </c>
      <c r="H65" t="s">
        <v>15</v>
      </c>
      <c r="I65">
        <v>3</v>
      </c>
      <c r="J65" t="s">
        <v>30</v>
      </c>
      <c r="K65" t="s">
        <v>24</v>
      </c>
      <c r="L65">
        <v>41</v>
      </c>
      <c r="M65" t="str" cm="1">
        <f t="array" ref="M65">_xlfn.IFS(
L65&gt;50,"Old Age",
L65&gt;=31,"Middle Age",
L65&lt;31,"Young Age"
)</f>
        <v>Middle Age</v>
      </c>
      <c r="N65" t="s">
        <v>18</v>
      </c>
      <c r="O65" t="str" cm="1">
        <f t="array" ref="O65">_xlfn.IFS(D65&gt;120000, "High Income", D65&gt;=80000, "Average Income", D65&lt;80000, "Low Income")</f>
        <v>Low Income</v>
      </c>
      <c r="P65">
        <f>IF(Table24[[#This Row],[Purchased Bike]]="Yes",1,0)</f>
        <v>0</v>
      </c>
    </row>
    <row r="66" spans="1:16" x14ac:dyDescent="0.25">
      <c r="A66">
        <v>14927</v>
      </c>
      <c r="B66" t="s">
        <v>34</v>
      </c>
      <c r="C66" t="s">
        <v>33</v>
      </c>
      <c r="D66" s="2">
        <v>30000</v>
      </c>
      <c r="E66">
        <v>1</v>
      </c>
      <c r="F66" t="s">
        <v>13</v>
      </c>
      <c r="G66" t="s">
        <v>20</v>
      </c>
      <c r="H66" t="s">
        <v>15</v>
      </c>
      <c r="I66">
        <v>0</v>
      </c>
      <c r="J66" t="s">
        <v>16</v>
      </c>
      <c r="K66" t="s">
        <v>17</v>
      </c>
      <c r="L66">
        <v>37</v>
      </c>
      <c r="M66" t="str" cm="1">
        <f t="array" ref="M66">_xlfn.IFS(
L66&gt;50,"Old Age",
L66&gt;=31,"Middle Age",
L66&lt;31,"Young Age"
)</f>
        <v>Middle Age</v>
      </c>
      <c r="N66" t="s">
        <v>15</v>
      </c>
      <c r="O66" t="str" cm="1">
        <f t="array" ref="O66">_xlfn.IFS(D66&gt;120000, "High Income", D66&gt;=80000, "Average Income", D66&lt;80000, "Low Income")</f>
        <v>Low Income</v>
      </c>
      <c r="P66">
        <f>IF(Table24[[#This Row],[Purchased Bike]]="Yes",1,0)</f>
        <v>1</v>
      </c>
    </row>
    <row r="67" spans="1:16" hidden="1" x14ac:dyDescent="0.25">
      <c r="A67">
        <v>29337</v>
      </c>
      <c r="B67" t="s">
        <v>35</v>
      </c>
      <c r="C67" t="s">
        <v>34</v>
      </c>
      <c r="D67" s="2">
        <v>30000</v>
      </c>
      <c r="E67">
        <v>2</v>
      </c>
      <c r="F67" t="s">
        <v>19</v>
      </c>
      <c r="G67" t="s">
        <v>20</v>
      </c>
      <c r="H67" t="s">
        <v>15</v>
      </c>
      <c r="I67">
        <v>2</v>
      </c>
      <c r="J67" t="s">
        <v>23</v>
      </c>
      <c r="K67" t="s">
        <v>24</v>
      </c>
      <c r="L67">
        <v>68</v>
      </c>
      <c r="M67" t="str" cm="1">
        <f t="array" ref="M67">_xlfn.IFS(
L67&gt;50,"Old Age",
L67&gt;=31,"Middle Age",
L67&lt;31,"Young Age"
)</f>
        <v>Old Age</v>
      </c>
      <c r="N67" t="s">
        <v>18</v>
      </c>
      <c r="O67" t="str" cm="1">
        <f t="array" ref="O67">_xlfn.IFS(D67&gt;120000, "High Income", D67&gt;=80000, "Average Income", D67&lt;80000, "Low Income")</f>
        <v>Low Income</v>
      </c>
      <c r="P67">
        <f>IF(Table24[[#This Row],[Purchased Bike]]="Yes",1,0)</f>
        <v>0</v>
      </c>
    </row>
    <row r="68" spans="1:16" x14ac:dyDescent="0.25">
      <c r="A68">
        <v>29355</v>
      </c>
      <c r="B68" t="s">
        <v>34</v>
      </c>
      <c r="C68" t="s">
        <v>33</v>
      </c>
      <c r="D68" s="2">
        <v>40000</v>
      </c>
      <c r="E68">
        <v>0</v>
      </c>
      <c r="F68" t="s">
        <v>31</v>
      </c>
      <c r="G68" t="s">
        <v>20</v>
      </c>
      <c r="H68" t="s">
        <v>15</v>
      </c>
      <c r="I68">
        <v>0</v>
      </c>
      <c r="J68" t="s">
        <v>16</v>
      </c>
      <c r="K68" t="s">
        <v>17</v>
      </c>
      <c r="L68">
        <v>37</v>
      </c>
      <c r="M68" t="str" cm="1">
        <f t="array" ref="M68">_xlfn.IFS(
L68&gt;50,"Old Age",
L68&gt;=31,"Middle Age",
L68&lt;31,"Young Age"
)</f>
        <v>Middle Age</v>
      </c>
      <c r="N68" t="s">
        <v>15</v>
      </c>
      <c r="O68" t="str" cm="1">
        <f t="array" ref="O68">_xlfn.IFS(D68&gt;120000, "High Income", D68&gt;=80000, "Average Income", D68&lt;80000, "Low Income")</f>
        <v>Low Income</v>
      </c>
      <c r="P68">
        <f>IF(Table24[[#This Row],[Purchased Bike]]="Yes",1,0)</f>
        <v>1</v>
      </c>
    </row>
    <row r="69" spans="1:16" x14ac:dyDescent="0.25">
      <c r="A69">
        <v>25303</v>
      </c>
      <c r="B69" t="s">
        <v>35</v>
      </c>
      <c r="C69" t="s">
        <v>34</v>
      </c>
      <c r="D69" s="2">
        <v>30000</v>
      </c>
      <c r="E69">
        <v>0</v>
      </c>
      <c r="F69" t="s">
        <v>27</v>
      </c>
      <c r="G69" t="s">
        <v>25</v>
      </c>
      <c r="H69" t="s">
        <v>15</v>
      </c>
      <c r="I69">
        <v>1</v>
      </c>
      <c r="J69" t="s">
        <v>22</v>
      </c>
      <c r="K69" t="s">
        <v>17</v>
      </c>
      <c r="L69">
        <v>33</v>
      </c>
      <c r="M69" t="str" cm="1">
        <f t="array" ref="M69">_xlfn.IFS(
L69&gt;50,"Old Age",
L69&gt;=31,"Middle Age",
L69&lt;31,"Young Age"
)</f>
        <v>Middle Age</v>
      </c>
      <c r="N69" t="s">
        <v>15</v>
      </c>
      <c r="O69" t="str" cm="1">
        <f t="array" ref="O69">_xlfn.IFS(D69&gt;120000, "High Income", D69&gt;=80000, "Average Income", D69&lt;80000, "Low Income")</f>
        <v>Low Income</v>
      </c>
      <c r="P69">
        <f>IF(Table24[[#This Row],[Purchased Bike]]="Yes",1,0)</f>
        <v>1</v>
      </c>
    </row>
    <row r="70" spans="1:16" x14ac:dyDescent="0.25">
      <c r="A70">
        <v>14813</v>
      </c>
      <c r="B70" t="s">
        <v>35</v>
      </c>
      <c r="C70" t="s">
        <v>33</v>
      </c>
      <c r="D70" s="2">
        <v>20000</v>
      </c>
      <c r="E70">
        <v>4</v>
      </c>
      <c r="F70" t="s">
        <v>27</v>
      </c>
      <c r="G70" t="s">
        <v>25</v>
      </c>
      <c r="H70" t="s">
        <v>15</v>
      </c>
      <c r="I70">
        <v>1</v>
      </c>
      <c r="J70" t="s">
        <v>16</v>
      </c>
      <c r="K70" t="s">
        <v>17</v>
      </c>
      <c r="L70">
        <v>43</v>
      </c>
      <c r="M70" t="str" cm="1">
        <f t="array" ref="M70">_xlfn.IFS(
L70&gt;50,"Old Age",
L70&gt;=31,"Middle Age",
L70&lt;31,"Young Age"
)</f>
        <v>Middle Age</v>
      </c>
      <c r="N70" t="s">
        <v>15</v>
      </c>
      <c r="O70" t="str" cm="1">
        <f t="array" ref="O70">_xlfn.IFS(D70&gt;120000, "High Income", D70&gt;=80000, "Average Income", D70&lt;80000, "Low Income")</f>
        <v>Low Income</v>
      </c>
      <c r="P70">
        <f>IF(Table24[[#This Row],[Purchased Bike]]="Yes",1,0)</f>
        <v>1</v>
      </c>
    </row>
    <row r="71" spans="1:16" hidden="1" x14ac:dyDescent="0.25">
      <c r="A71">
        <v>16438</v>
      </c>
      <c r="B71" t="s">
        <v>34</v>
      </c>
      <c r="C71" t="s">
        <v>33</v>
      </c>
      <c r="D71" s="2">
        <v>10000</v>
      </c>
      <c r="E71">
        <v>0</v>
      </c>
      <c r="F71" t="s">
        <v>29</v>
      </c>
      <c r="G71" t="s">
        <v>25</v>
      </c>
      <c r="H71" t="s">
        <v>18</v>
      </c>
      <c r="I71">
        <v>2</v>
      </c>
      <c r="J71" t="s">
        <v>16</v>
      </c>
      <c r="K71" t="s">
        <v>17</v>
      </c>
      <c r="L71">
        <v>30</v>
      </c>
      <c r="M71" t="str" cm="1">
        <f t="array" ref="M71">_xlfn.IFS(
L71&gt;50,"Old Age",
L71&gt;=31,"Middle Age",
L71&lt;31,"Young Age"
)</f>
        <v>Young Age</v>
      </c>
      <c r="N71" t="s">
        <v>18</v>
      </c>
      <c r="O71" t="str" cm="1">
        <f t="array" ref="O71">_xlfn.IFS(D71&gt;120000, "High Income", D71&gt;=80000, "Average Income", D71&lt;80000, "Low Income")</f>
        <v>Low Income</v>
      </c>
      <c r="P71">
        <f>IF(Table24[[#This Row],[Purchased Bike]]="Yes",1,0)</f>
        <v>0</v>
      </c>
    </row>
    <row r="72" spans="1:16" x14ac:dyDescent="0.25">
      <c r="A72">
        <v>14238</v>
      </c>
      <c r="B72" t="s">
        <v>34</v>
      </c>
      <c r="C72" t="s">
        <v>34</v>
      </c>
      <c r="D72" s="2">
        <v>120000</v>
      </c>
      <c r="E72">
        <v>0</v>
      </c>
      <c r="F72" t="s">
        <v>29</v>
      </c>
      <c r="G72" t="s">
        <v>21</v>
      </c>
      <c r="H72" t="s">
        <v>15</v>
      </c>
      <c r="I72">
        <v>4</v>
      </c>
      <c r="J72" t="s">
        <v>30</v>
      </c>
      <c r="K72" t="s">
        <v>24</v>
      </c>
      <c r="L72">
        <v>36</v>
      </c>
      <c r="M72" t="str" cm="1">
        <f t="array" ref="M72">_xlfn.IFS(
L72&gt;50,"Old Age",
L72&gt;=31,"Middle Age",
L72&lt;31,"Young Age"
)</f>
        <v>Middle Age</v>
      </c>
      <c r="N72" t="s">
        <v>15</v>
      </c>
      <c r="O72" t="str" cm="1">
        <f t="array" ref="O72">_xlfn.IFS(D72&gt;120000, "High Income", D72&gt;=80000, "Average Income", D72&lt;80000, "Low Income")</f>
        <v>Average Income</v>
      </c>
      <c r="P72">
        <f>IF(Table24[[#This Row],[Purchased Bike]]="Yes",1,0)</f>
        <v>1</v>
      </c>
    </row>
    <row r="73" spans="1:16" hidden="1" x14ac:dyDescent="0.25">
      <c r="A73">
        <v>16200</v>
      </c>
      <c r="B73" t="s">
        <v>35</v>
      </c>
      <c r="C73" t="s">
        <v>33</v>
      </c>
      <c r="D73" s="2">
        <v>10000</v>
      </c>
      <c r="E73">
        <v>0</v>
      </c>
      <c r="F73" t="s">
        <v>29</v>
      </c>
      <c r="G73" t="s">
        <v>25</v>
      </c>
      <c r="H73" t="s">
        <v>18</v>
      </c>
      <c r="I73">
        <v>2</v>
      </c>
      <c r="J73" t="s">
        <v>16</v>
      </c>
      <c r="K73" t="s">
        <v>17</v>
      </c>
      <c r="L73">
        <v>35</v>
      </c>
      <c r="M73" t="str" cm="1">
        <f t="array" ref="M73">_xlfn.IFS(
L73&gt;50,"Old Age",
L73&gt;=31,"Middle Age",
L73&lt;31,"Young Age"
)</f>
        <v>Middle Age</v>
      </c>
      <c r="N73" t="s">
        <v>18</v>
      </c>
      <c r="O73" t="str" cm="1">
        <f t="array" ref="O73">_xlfn.IFS(D73&gt;120000, "High Income", D73&gt;=80000, "Average Income", D73&lt;80000, "Low Income")</f>
        <v>Low Income</v>
      </c>
      <c r="P73">
        <f>IF(Table24[[#This Row],[Purchased Bike]]="Yes",1,0)</f>
        <v>0</v>
      </c>
    </row>
    <row r="74" spans="1:16" hidden="1" x14ac:dyDescent="0.25">
      <c r="A74">
        <v>24857</v>
      </c>
      <c r="B74" t="s">
        <v>34</v>
      </c>
      <c r="C74" t="s">
        <v>33</v>
      </c>
      <c r="D74" s="2">
        <v>130000</v>
      </c>
      <c r="E74">
        <v>3</v>
      </c>
      <c r="F74" t="s">
        <v>27</v>
      </c>
      <c r="G74" t="s">
        <v>21</v>
      </c>
      <c r="H74" t="s">
        <v>15</v>
      </c>
      <c r="I74">
        <v>4</v>
      </c>
      <c r="J74" t="s">
        <v>16</v>
      </c>
      <c r="K74" t="s">
        <v>17</v>
      </c>
      <c r="L74">
        <v>52</v>
      </c>
      <c r="M74" t="str" cm="1">
        <f t="array" ref="M74">_xlfn.IFS(
L74&gt;50,"Old Age",
L74&gt;=31,"Middle Age",
L74&lt;31,"Young Age"
)</f>
        <v>Old Age</v>
      </c>
      <c r="N74" t="s">
        <v>18</v>
      </c>
      <c r="O74" t="str" cm="1">
        <f t="array" ref="O74">_xlfn.IFS(D74&gt;120000, "High Income", D74&gt;=80000, "Average Income", D74&lt;80000, "Low Income")</f>
        <v>High Income</v>
      </c>
      <c r="P74">
        <f>IF(Table24[[#This Row],[Purchased Bike]]="Yes",1,0)</f>
        <v>0</v>
      </c>
    </row>
    <row r="75" spans="1:16" x14ac:dyDescent="0.25">
      <c r="A75">
        <v>26956</v>
      </c>
      <c r="B75" t="s">
        <v>35</v>
      </c>
      <c r="C75" t="s">
        <v>33</v>
      </c>
      <c r="D75" s="2">
        <v>20000</v>
      </c>
      <c r="E75">
        <v>0</v>
      </c>
      <c r="F75" t="s">
        <v>19</v>
      </c>
      <c r="G75" t="s">
        <v>25</v>
      </c>
      <c r="H75" t="s">
        <v>18</v>
      </c>
      <c r="I75">
        <v>1</v>
      </c>
      <c r="J75" t="s">
        <v>22</v>
      </c>
      <c r="K75" t="s">
        <v>17</v>
      </c>
      <c r="L75">
        <v>36</v>
      </c>
      <c r="M75" t="str" cm="1">
        <f t="array" ref="M75">_xlfn.IFS(
L75&gt;50,"Old Age",
L75&gt;=31,"Middle Age",
L75&lt;31,"Young Age"
)</f>
        <v>Middle Age</v>
      </c>
      <c r="N75" t="s">
        <v>15</v>
      </c>
      <c r="O75" t="str" cm="1">
        <f t="array" ref="O75">_xlfn.IFS(D75&gt;120000, "High Income", D75&gt;=80000, "Average Income", D75&lt;80000, "Low Income")</f>
        <v>Low Income</v>
      </c>
      <c r="P75">
        <f>IF(Table24[[#This Row],[Purchased Bike]]="Yes",1,0)</f>
        <v>1</v>
      </c>
    </row>
    <row r="76" spans="1:16" hidden="1" x14ac:dyDescent="0.25">
      <c r="A76">
        <v>14517</v>
      </c>
      <c r="B76" t="s">
        <v>34</v>
      </c>
      <c r="C76" t="s">
        <v>33</v>
      </c>
      <c r="D76" s="2">
        <v>20000</v>
      </c>
      <c r="E76">
        <v>3</v>
      </c>
      <c r="F76" t="s">
        <v>27</v>
      </c>
      <c r="G76" t="s">
        <v>14</v>
      </c>
      <c r="H76" t="s">
        <v>18</v>
      </c>
      <c r="I76">
        <v>2</v>
      </c>
      <c r="J76" t="s">
        <v>26</v>
      </c>
      <c r="K76" t="s">
        <v>24</v>
      </c>
      <c r="L76">
        <v>62</v>
      </c>
      <c r="M76" t="str" cm="1">
        <f t="array" ref="M76">_xlfn.IFS(
L76&gt;50,"Old Age",
L76&gt;=31,"Middle Age",
L76&lt;31,"Young Age"
)</f>
        <v>Old Age</v>
      </c>
      <c r="N76" t="s">
        <v>18</v>
      </c>
      <c r="O76" t="str" cm="1">
        <f t="array" ref="O76">_xlfn.IFS(D76&gt;120000, "High Income", D76&gt;=80000, "Average Income", D76&lt;80000, "Low Income")</f>
        <v>Low Income</v>
      </c>
      <c r="P76">
        <f>IF(Table24[[#This Row],[Purchased Bike]]="Yes",1,0)</f>
        <v>0</v>
      </c>
    </row>
    <row r="77" spans="1:16" hidden="1" x14ac:dyDescent="0.25">
      <c r="A77">
        <v>12678</v>
      </c>
      <c r="B77" t="s">
        <v>35</v>
      </c>
      <c r="C77" t="s">
        <v>33</v>
      </c>
      <c r="D77" s="2">
        <v>130000</v>
      </c>
      <c r="E77">
        <v>4</v>
      </c>
      <c r="F77" t="s">
        <v>27</v>
      </c>
      <c r="G77" t="s">
        <v>28</v>
      </c>
      <c r="H77" t="s">
        <v>15</v>
      </c>
      <c r="I77">
        <v>4</v>
      </c>
      <c r="J77" t="s">
        <v>16</v>
      </c>
      <c r="K77" t="s">
        <v>24</v>
      </c>
      <c r="L77">
        <v>31</v>
      </c>
      <c r="M77" t="str" cm="1">
        <f t="array" ref="M77">_xlfn.IFS(
L77&gt;50,"Old Age",
L77&gt;=31,"Middle Age",
L77&lt;31,"Young Age"
)</f>
        <v>Middle Age</v>
      </c>
      <c r="N77" t="s">
        <v>18</v>
      </c>
      <c r="O77" t="str" cm="1">
        <f t="array" ref="O77">_xlfn.IFS(D77&gt;120000, "High Income", D77&gt;=80000, "Average Income", D77&lt;80000, "Low Income")</f>
        <v>High Income</v>
      </c>
      <c r="P77">
        <f>IF(Table24[[#This Row],[Purchased Bike]]="Yes",1,0)</f>
        <v>0</v>
      </c>
    </row>
    <row r="78" spans="1:16" hidden="1" x14ac:dyDescent="0.25">
      <c r="A78">
        <v>16188</v>
      </c>
      <c r="B78" t="s">
        <v>35</v>
      </c>
      <c r="C78" t="s">
        <v>33</v>
      </c>
      <c r="D78" s="2">
        <v>20000</v>
      </c>
      <c r="E78">
        <v>0</v>
      </c>
      <c r="F78" t="s">
        <v>29</v>
      </c>
      <c r="G78" t="s">
        <v>25</v>
      </c>
      <c r="H78" t="s">
        <v>18</v>
      </c>
      <c r="I78">
        <v>2</v>
      </c>
      <c r="J78" t="s">
        <v>26</v>
      </c>
      <c r="K78" t="s">
        <v>17</v>
      </c>
      <c r="L78">
        <v>26</v>
      </c>
      <c r="M78" t="str" cm="1">
        <f t="array" ref="M78">_xlfn.IFS(
L78&gt;50,"Old Age",
L78&gt;=31,"Middle Age",
L78&lt;31,"Young Age"
)</f>
        <v>Young Age</v>
      </c>
      <c r="N78" t="s">
        <v>18</v>
      </c>
      <c r="O78" t="str" cm="1">
        <f t="array" ref="O78">_xlfn.IFS(D78&gt;120000, "High Income", D78&gt;=80000, "Average Income", D78&lt;80000, "Low Income")</f>
        <v>Low Income</v>
      </c>
      <c r="P78">
        <f>IF(Table24[[#This Row],[Purchased Bike]]="Yes",1,0)</f>
        <v>0</v>
      </c>
    </row>
    <row r="79" spans="1:16" hidden="1" x14ac:dyDescent="0.25">
      <c r="A79">
        <v>27969</v>
      </c>
      <c r="B79" t="s">
        <v>34</v>
      </c>
      <c r="C79" t="s">
        <v>34</v>
      </c>
      <c r="D79" s="2">
        <v>80000</v>
      </c>
      <c r="E79">
        <v>0</v>
      </c>
      <c r="F79" t="s">
        <v>13</v>
      </c>
      <c r="G79" t="s">
        <v>21</v>
      </c>
      <c r="H79" t="s">
        <v>15</v>
      </c>
      <c r="I79">
        <v>2</v>
      </c>
      <c r="J79" t="s">
        <v>30</v>
      </c>
      <c r="K79" t="s">
        <v>24</v>
      </c>
      <c r="L79">
        <v>29</v>
      </c>
      <c r="M79" t="str" cm="1">
        <f t="array" ref="M79">_xlfn.IFS(
L79&gt;50,"Old Age",
L79&gt;=31,"Middle Age",
L79&lt;31,"Young Age"
)</f>
        <v>Young Age</v>
      </c>
      <c r="N79" t="s">
        <v>15</v>
      </c>
      <c r="O79" t="str" cm="1">
        <f t="array" ref="O79">_xlfn.IFS(D79&gt;120000, "High Income", D79&gt;=80000, "Average Income", D79&lt;80000, "Low Income")</f>
        <v>Average Income</v>
      </c>
      <c r="P79">
        <f>IF(Table24[[#This Row],[Purchased Bike]]="Yes",1,0)</f>
        <v>1</v>
      </c>
    </row>
    <row r="80" spans="1:16" x14ac:dyDescent="0.25">
      <c r="A80">
        <v>15752</v>
      </c>
      <c r="B80" t="s">
        <v>34</v>
      </c>
      <c r="C80" t="s">
        <v>34</v>
      </c>
      <c r="D80" s="2">
        <v>80000</v>
      </c>
      <c r="E80">
        <v>2</v>
      </c>
      <c r="F80" t="s">
        <v>27</v>
      </c>
      <c r="G80" t="s">
        <v>14</v>
      </c>
      <c r="H80" t="s">
        <v>18</v>
      </c>
      <c r="I80">
        <v>2</v>
      </c>
      <c r="J80" t="s">
        <v>26</v>
      </c>
      <c r="K80" t="s">
        <v>24</v>
      </c>
      <c r="L80">
        <v>50</v>
      </c>
      <c r="M80" t="str" cm="1">
        <f t="array" ref="M80">_xlfn.IFS(
L80&gt;50,"Old Age",
L80&gt;=31,"Middle Age",
L80&lt;31,"Young Age"
)</f>
        <v>Middle Age</v>
      </c>
      <c r="N80" t="s">
        <v>15</v>
      </c>
      <c r="O80" t="str" cm="1">
        <f t="array" ref="O80">_xlfn.IFS(D80&gt;120000, "High Income", D80&gt;=80000, "Average Income", D80&lt;80000, "Low Income")</f>
        <v>Average Income</v>
      </c>
      <c r="P80">
        <f>IF(Table24[[#This Row],[Purchased Bike]]="Yes",1,0)</f>
        <v>1</v>
      </c>
    </row>
    <row r="81" spans="1:16" hidden="1" x14ac:dyDescent="0.25">
      <c r="A81">
        <v>27745</v>
      </c>
      <c r="B81" t="s">
        <v>35</v>
      </c>
      <c r="C81" t="s">
        <v>34</v>
      </c>
      <c r="D81" s="2">
        <v>40000</v>
      </c>
      <c r="E81">
        <v>2</v>
      </c>
      <c r="F81" t="s">
        <v>13</v>
      </c>
      <c r="G81" t="s">
        <v>28</v>
      </c>
      <c r="H81" t="s">
        <v>15</v>
      </c>
      <c r="I81">
        <v>2</v>
      </c>
      <c r="J81" t="s">
        <v>23</v>
      </c>
      <c r="K81" t="s">
        <v>24</v>
      </c>
      <c r="L81">
        <v>63</v>
      </c>
      <c r="M81" t="str" cm="1">
        <f t="array" ref="M81">_xlfn.IFS(
L81&gt;50,"Old Age",
L81&gt;=31,"Middle Age",
L81&lt;31,"Young Age"
)</f>
        <v>Old Age</v>
      </c>
      <c r="N81" t="s">
        <v>15</v>
      </c>
      <c r="O81" t="str" cm="1">
        <f t="array" ref="O81">_xlfn.IFS(D81&gt;120000, "High Income", D81&gt;=80000, "Average Income", D81&lt;80000, "Low Income")</f>
        <v>Low Income</v>
      </c>
      <c r="P81">
        <f>IF(Table24[[#This Row],[Purchased Bike]]="Yes",1,0)</f>
        <v>1</v>
      </c>
    </row>
    <row r="82" spans="1:16" x14ac:dyDescent="0.25">
      <c r="A82">
        <v>20828</v>
      </c>
      <c r="B82" t="s">
        <v>34</v>
      </c>
      <c r="C82" t="s">
        <v>33</v>
      </c>
      <c r="D82" s="2">
        <v>30000</v>
      </c>
      <c r="E82">
        <v>4</v>
      </c>
      <c r="F82" t="s">
        <v>31</v>
      </c>
      <c r="G82" t="s">
        <v>20</v>
      </c>
      <c r="H82" t="s">
        <v>15</v>
      </c>
      <c r="I82">
        <v>0</v>
      </c>
      <c r="J82" t="s">
        <v>16</v>
      </c>
      <c r="K82" t="s">
        <v>17</v>
      </c>
      <c r="L82">
        <v>45</v>
      </c>
      <c r="M82" t="str" cm="1">
        <f t="array" ref="M82">_xlfn.IFS(
L82&gt;50,"Old Age",
L82&gt;=31,"Middle Age",
L82&lt;31,"Young Age"
)</f>
        <v>Middle Age</v>
      </c>
      <c r="N82" t="s">
        <v>15</v>
      </c>
      <c r="O82" t="str" cm="1">
        <f t="array" ref="O82">_xlfn.IFS(D82&gt;120000, "High Income", D82&gt;=80000, "Average Income", D82&lt;80000, "Low Income")</f>
        <v>Low Income</v>
      </c>
      <c r="P82">
        <f>IF(Table24[[#This Row],[Purchased Bike]]="Yes",1,0)</f>
        <v>1</v>
      </c>
    </row>
    <row r="83" spans="1:16" hidden="1" x14ac:dyDescent="0.25">
      <c r="A83">
        <v>19461</v>
      </c>
      <c r="B83" t="s">
        <v>35</v>
      </c>
      <c r="C83" t="s">
        <v>33</v>
      </c>
      <c r="D83" s="2">
        <v>10000</v>
      </c>
      <c r="E83">
        <v>4</v>
      </c>
      <c r="F83" t="s">
        <v>29</v>
      </c>
      <c r="G83" t="s">
        <v>25</v>
      </c>
      <c r="H83" t="s">
        <v>15</v>
      </c>
      <c r="I83">
        <v>2</v>
      </c>
      <c r="J83" t="s">
        <v>16</v>
      </c>
      <c r="K83" t="s">
        <v>17</v>
      </c>
      <c r="L83">
        <v>40</v>
      </c>
      <c r="M83" t="str" cm="1">
        <f t="array" ref="M83">_xlfn.IFS(
L83&gt;50,"Old Age",
L83&gt;=31,"Middle Age",
L83&lt;31,"Young Age"
)</f>
        <v>Middle Age</v>
      </c>
      <c r="N83" t="s">
        <v>18</v>
      </c>
      <c r="O83" t="str" cm="1">
        <f t="array" ref="O83">_xlfn.IFS(D83&gt;120000, "High Income", D83&gt;=80000, "Average Income", D83&lt;80000, "Low Income")</f>
        <v>Low Income</v>
      </c>
      <c r="P83">
        <f>IF(Table24[[#This Row],[Purchased Bike]]="Yes",1,0)</f>
        <v>0</v>
      </c>
    </row>
    <row r="84" spans="1:16" x14ac:dyDescent="0.25">
      <c r="A84">
        <v>26941</v>
      </c>
      <c r="B84" t="s">
        <v>34</v>
      </c>
      <c r="C84" t="s">
        <v>34</v>
      </c>
      <c r="D84" s="2">
        <v>30000</v>
      </c>
      <c r="E84">
        <v>0</v>
      </c>
      <c r="F84" t="s">
        <v>13</v>
      </c>
      <c r="G84" t="s">
        <v>20</v>
      </c>
      <c r="H84" t="s">
        <v>15</v>
      </c>
      <c r="I84">
        <v>0</v>
      </c>
      <c r="J84" t="s">
        <v>16</v>
      </c>
      <c r="K84" t="s">
        <v>17</v>
      </c>
      <c r="L84">
        <v>47</v>
      </c>
      <c r="M84" t="str" cm="1">
        <f t="array" ref="M84">_xlfn.IFS(
L84&gt;50,"Old Age",
L84&gt;=31,"Middle Age",
L84&lt;31,"Young Age"
)</f>
        <v>Middle Age</v>
      </c>
      <c r="N84" t="s">
        <v>15</v>
      </c>
      <c r="O84" t="str" cm="1">
        <f t="array" ref="O84">_xlfn.IFS(D84&gt;120000, "High Income", D84&gt;=80000, "Average Income", D84&lt;80000, "Low Income")</f>
        <v>Low Income</v>
      </c>
      <c r="P84">
        <f>IF(Table24[[#This Row],[Purchased Bike]]="Yes",1,0)</f>
        <v>1</v>
      </c>
    </row>
    <row r="85" spans="1:16" hidden="1" x14ac:dyDescent="0.25">
      <c r="A85">
        <v>28412</v>
      </c>
      <c r="B85" t="s">
        <v>35</v>
      </c>
      <c r="C85" t="s">
        <v>34</v>
      </c>
      <c r="D85" s="2">
        <v>20000</v>
      </c>
      <c r="E85">
        <v>0</v>
      </c>
      <c r="F85" t="s">
        <v>27</v>
      </c>
      <c r="G85" t="s">
        <v>25</v>
      </c>
      <c r="H85" t="s">
        <v>18</v>
      </c>
      <c r="I85">
        <v>1</v>
      </c>
      <c r="J85" t="s">
        <v>22</v>
      </c>
      <c r="K85" t="s">
        <v>17</v>
      </c>
      <c r="L85">
        <v>29</v>
      </c>
      <c r="M85" t="str" cm="1">
        <f t="array" ref="M85">_xlfn.IFS(
L85&gt;50,"Old Age",
L85&gt;=31,"Middle Age",
L85&lt;31,"Young Age"
)</f>
        <v>Young Age</v>
      </c>
      <c r="N85" t="s">
        <v>18</v>
      </c>
      <c r="O85" t="str" cm="1">
        <f t="array" ref="O85">_xlfn.IFS(D85&gt;120000, "High Income", D85&gt;=80000, "Average Income", D85&lt;80000, "Low Income")</f>
        <v>Low Income</v>
      </c>
      <c r="P85">
        <f>IF(Table24[[#This Row],[Purchased Bike]]="Yes",1,0)</f>
        <v>0</v>
      </c>
    </row>
    <row r="86" spans="1:16" hidden="1" x14ac:dyDescent="0.25">
      <c r="A86">
        <v>24485</v>
      </c>
      <c r="B86" t="s">
        <v>35</v>
      </c>
      <c r="C86" t="s">
        <v>34</v>
      </c>
      <c r="D86" s="2">
        <v>40000</v>
      </c>
      <c r="E86">
        <v>2</v>
      </c>
      <c r="F86" t="s">
        <v>13</v>
      </c>
      <c r="G86" t="s">
        <v>28</v>
      </c>
      <c r="H86" t="s">
        <v>18</v>
      </c>
      <c r="I86">
        <v>1</v>
      </c>
      <c r="J86" t="s">
        <v>23</v>
      </c>
      <c r="K86" t="s">
        <v>24</v>
      </c>
      <c r="L86">
        <v>52</v>
      </c>
      <c r="M86" t="str" cm="1">
        <f t="array" ref="M86">_xlfn.IFS(
L86&gt;50,"Old Age",
L86&gt;=31,"Middle Age",
L86&lt;31,"Young Age"
)</f>
        <v>Old Age</v>
      </c>
      <c r="N86" t="s">
        <v>15</v>
      </c>
      <c r="O86" t="str" cm="1">
        <f t="array" ref="O86">_xlfn.IFS(D86&gt;120000, "High Income", D86&gt;=80000, "Average Income", D86&lt;80000, "Low Income")</f>
        <v>Low Income</v>
      </c>
      <c r="P86">
        <f>IF(Table24[[#This Row],[Purchased Bike]]="Yes",1,0)</f>
        <v>1</v>
      </c>
    </row>
    <row r="87" spans="1:16" hidden="1" x14ac:dyDescent="0.25">
      <c r="A87">
        <v>16514</v>
      </c>
      <c r="B87" t="s">
        <v>35</v>
      </c>
      <c r="C87" t="s">
        <v>34</v>
      </c>
      <c r="D87" s="2">
        <v>10000</v>
      </c>
      <c r="E87">
        <v>0</v>
      </c>
      <c r="F87" t="s">
        <v>19</v>
      </c>
      <c r="G87" t="s">
        <v>25</v>
      </c>
      <c r="H87" t="s">
        <v>15</v>
      </c>
      <c r="I87">
        <v>1</v>
      </c>
      <c r="J87" t="s">
        <v>26</v>
      </c>
      <c r="K87" t="s">
        <v>24</v>
      </c>
      <c r="L87">
        <v>26</v>
      </c>
      <c r="M87" t="str" cm="1">
        <f t="array" ref="M87">_xlfn.IFS(
L87&gt;50,"Old Age",
L87&gt;=31,"Middle Age",
L87&lt;31,"Young Age"
)</f>
        <v>Young Age</v>
      </c>
      <c r="N87" t="s">
        <v>15</v>
      </c>
      <c r="O87" t="str" cm="1">
        <f t="array" ref="O87">_xlfn.IFS(D87&gt;120000, "High Income", D87&gt;=80000, "Average Income", D87&lt;80000, "Low Income")</f>
        <v>Low Income</v>
      </c>
      <c r="P87">
        <f>IF(Table24[[#This Row],[Purchased Bike]]="Yes",1,0)</f>
        <v>1</v>
      </c>
    </row>
    <row r="88" spans="1:16" hidden="1" x14ac:dyDescent="0.25">
      <c r="A88">
        <v>17191</v>
      </c>
      <c r="B88" t="s">
        <v>35</v>
      </c>
      <c r="C88" t="s">
        <v>34</v>
      </c>
      <c r="D88" s="2">
        <v>130000</v>
      </c>
      <c r="E88">
        <v>3</v>
      </c>
      <c r="F88" t="s">
        <v>19</v>
      </c>
      <c r="G88" t="s">
        <v>21</v>
      </c>
      <c r="H88" t="s">
        <v>18</v>
      </c>
      <c r="I88">
        <v>3</v>
      </c>
      <c r="J88" t="s">
        <v>16</v>
      </c>
      <c r="K88" t="s">
        <v>17</v>
      </c>
      <c r="L88">
        <v>51</v>
      </c>
      <c r="M88" t="str" cm="1">
        <f t="array" ref="M88">_xlfn.IFS(
L88&gt;50,"Old Age",
L88&gt;=31,"Middle Age",
L88&lt;31,"Young Age"
)</f>
        <v>Old Age</v>
      </c>
      <c r="N88" t="s">
        <v>15</v>
      </c>
      <c r="O88" t="str" cm="1">
        <f t="array" ref="O88">_xlfn.IFS(D88&gt;120000, "High Income", D88&gt;=80000, "Average Income", D88&lt;80000, "Low Income")</f>
        <v>High Income</v>
      </c>
      <c r="P88">
        <f>IF(Table24[[#This Row],[Purchased Bike]]="Yes",1,0)</f>
        <v>1</v>
      </c>
    </row>
    <row r="89" spans="1:16" hidden="1" x14ac:dyDescent="0.25">
      <c r="A89">
        <v>19608</v>
      </c>
      <c r="B89" t="s">
        <v>34</v>
      </c>
      <c r="C89" t="s">
        <v>34</v>
      </c>
      <c r="D89" s="2">
        <v>80000</v>
      </c>
      <c r="E89">
        <v>5</v>
      </c>
      <c r="F89" t="s">
        <v>13</v>
      </c>
      <c r="G89" t="s">
        <v>21</v>
      </c>
      <c r="H89" t="s">
        <v>15</v>
      </c>
      <c r="I89">
        <v>4</v>
      </c>
      <c r="J89" t="s">
        <v>26</v>
      </c>
      <c r="K89" t="s">
        <v>24</v>
      </c>
      <c r="L89">
        <v>40</v>
      </c>
      <c r="M89" t="str" cm="1">
        <f t="array" ref="M89">_xlfn.IFS(
L89&gt;50,"Old Age",
L89&gt;=31,"Middle Age",
L89&lt;31,"Young Age"
)</f>
        <v>Middle Age</v>
      </c>
      <c r="N89" t="s">
        <v>18</v>
      </c>
      <c r="O89" t="str" cm="1">
        <f t="array" ref="O89">_xlfn.IFS(D89&gt;120000, "High Income", D89&gt;=80000, "Average Income", D89&lt;80000, "Low Income")</f>
        <v>Average Income</v>
      </c>
      <c r="P89">
        <f>IF(Table24[[#This Row],[Purchased Bike]]="Yes",1,0)</f>
        <v>0</v>
      </c>
    </row>
    <row r="90" spans="1:16" hidden="1" x14ac:dyDescent="0.25">
      <c r="A90">
        <v>24119</v>
      </c>
      <c r="B90" t="s">
        <v>35</v>
      </c>
      <c r="C90" t="s">
        <v>34</v>
      </c>
      <c r="D90" s="2">
        <v>30000</v>
      </c>
      <c r="E90">
        <v>0</v>
      </c>
      <c r="F90" t="s">
        <v>19</v>
      </c>
      <c r="G90" t="s">
        <v>20</v>
      </c>
      <c r="H90" t="s">
        <v>18</v>
      </c>
      <c r="I90">
        <v>1</v>
      </c>
      <c r="J90" t="s">
        <v>22</v>
      </c>
      <c r="K90" t="s">
        <v>17</v>
      </c>
      <c r="L90">
        <v>29</v>
      </c>
      <c r="M90" t="str" cm="1">
        <f t="array" ref="M90">_xlfn.IFS(
L90&gt;50,"Old Age",
L90&gt;=31,"Middle Age",
L90&lt;31,"Young Age"
)</f>
        <v>Young Age</v>
      </c>
      <c r="N90" t="s">
        <v>18</v>
      </c>
      <c r="O90" t="str" cm="1">
        <f t="array" ref="O90">_xlfn.IFS(D90&gt;120000, "High Income", D90&gt;=80000, "Average Income", D90&lt;80000, "Low Income")</f>
        <v>Low Income</v>
      </c>
      <c r="P90">
        <f>IF(Table24[[#This Row],[Purchased Bike]]="Yes",1,0)</f>
        <v>0</v>
      </c>
    </row>
    <row r="91" spans="1:16" x14ac:dyDescent="0.25">
      <c r="A91">
        <v>25458</v>
      </c>
      <c r="B91" t="s">
        <v>34</v>
      </c>
      <c r="C91" t="s">
        <v>34</v>
      </c>
      <c r="D91" s="2">
        <v>20000</v>
      </c>
      <c r="E91">
        <v>1</v>
      </c>
      <c r="F91" t="s">
        <v>27</v>
      </c>
      <c r="G91" t="s">
        <v>25</v>
      </c>
      <c r="H91" t="s">
        <v>18</v>
      </c>
      <c r="I91">
        <v>1</v>
      </c>
      <c r="J91" t="s">
        <v>26</v>
      </c>
      <c r="K91" t="s">
        <v>17</v>
      </c>
      <c r="L91">
        <v>40</v>
      </c>
      <c r="M91" t="str" cm="1">
        <f t="array" ref="M91">_xlfn.IFS(
L91&gt;50,"Old Age",
L91&gt;=31,"Middle Age",
L91&lt;31,"Young Age"
)</f>
        <v>Middle Age</v>
      </c>
      <c r="N91" t="s">
        <v>15</v>
      </c>
      <c r="O91" t="str" cm="1">
        <f t="array" ref="O91">_xlfn.IFS(D91&gt;120000, "High Income", D91&gt;=80000, "Average Income", D91&lt;80000, "Low Income")</f>
        <v>Low Income</v>
      </c>
      <c r="P91">
        <f>IF(Table24[[#This Row],[Purchased Bike]]="Yes",1,0)</f>
        <v>1</v>
      </c>
    </row>
    <row r="92" spans="1:16" hidden="1" x14ac:dyDescent="0.25">
      <c r="A92">
        <v>26886</v>
      </c>
      <c r="B92" t="s">
        <v>35</v>
      </c>
      <c r="C92" t="s">
        <v>33</v>
      </c>
      <c r="D92" s="2">
        <v>30000</v>
      </c>
      <c r="E92">
        <v>0</v>
      </c>
      <c r="F92" t="s">
        <v>19</v>
      </c>
      <c r="G92" t="s">
        <v>20</v>
      </c>
      <c r="H92" t="s">
        <v>18</v>
      </c>
      <c r="I92">
        <v>1</v>
      </c>
      <c r="J92" t="s">
        <v>16</v>
      </c>
      <c r="K92" t="s">
        <v>17</v>
      </c>
      <c r="L92">
        <v>29</v>
      </c>
      <c r="M92" t="str" cm="1">
        <f t="array" ref="M92">_xlfn.IFS(
L92&gt;50,"Old Age",
L92&gt;=31,"Middle Age",
L92&lt;31,"Young Age"
)</f>
        <v>Young Age</v>
      </c>
      <c r="N92" t="s">
        <v>15</v>
      </c>
      <c r="O92" t="str" cm="1">
        <f t="array" ref="O92">_xlfn.IFS(D92&gt;120000, "High Income", D92&gt;=80000, "Average Income", D92&lt;80000, "Low Income")</f>
        <v>Low Income</v>
      </c>
      <c r="P92">
        <f>IF(Table24[[#This Row],[Purchased Bike]]="Yes",1,0)</f>
        <v>1</v>
      </c>
    </row>
    <row r="93" spans="1:16" hidden="1" x14ac:dyDescent="0.25">
      <c r="A93">
        <v>28436</v>
      </c>
      <c r="B93" t="s">
        <v>35</v>
      </c>
      <c r="C93" t="s">
        <v>34</v>
      </c>
      <c r="D93" s="2">
        <v>30000</v>
      </c>
      <c r="E93">
        <v>0</v>
      </c>
      <c r="F93" t="s">
        <v>19</v>
      </c>
      <c r="G93" t="s">
        <v>20</v>
      </c>
      <c r="H93" t="s">
        <v>18</v>
      </c>
      <c r="I93">
        <v>1</v>
      </c>
      <c r="J93" t="s">
        <v>16</v>
      </c>
      <c r="K93" t="s">
        <v>17</v>
      </c>
      <c r="L93">
        <v>30</v>
      </c>
      <c r="M93" t="str" cm="1">
        <f t="array" ref="M93">_xlfn.IFS(
L93&gt;50,"Old Age",
L93&gt;=31,"Middle Age",
L93&lt;31,"Young Age"
)</f>
        <v>Young Age</v>
      </c>
      <c r="N93" t="s">
        <v>15</v>
      </c>
      <c r="O93" t="str" cm="1">
        <f t="array" ref="O93">_xlfn.IFS(D93&gt;120000, "High Income", D93&gt;=80000, "Average Income", D93&lt;80000, "Low Income")</f>
        <v>Low Income</v>
      </c>
      <c r="P93">
        <f>IF(Table24[[#This Row],[Purchased Bike]]="Yes",1,0)</f>
        <v>1</v>
      </c>
    </row>
    <row r="94" spans="1:16" x14ac:dyDescent="0.25">
      <c r="A94">
        <v>19562</v>
      </c>
      <c r="B94" t="s">
        <v>35</v>
      </c>
      <c r="C94" t="s">
        <v>33</v>
      </c>
      <c r="D94" s="2">
        <v>60000</v>
      </c>
      <c r="E94">
        <v>2</v>
      </c>
      <c r="F94" t="s">
        <v>13</v>
      </c>
      <c r="G94" t="s">
        <v>21</v>
      </c>
      <c r="H94" t="s">
        <v>15</v>
      </c>
      <c r="I94">
        <v>1</v>
      </c>
      <c r="J94" t="s">
        <v>22</v>
      </c>
      <c r="K94" t="s">
        <v>24</v>
      </c>
      <c r="L94">
        <v>37</v>
      </c>
      <c r="M94" t="str" cm="1">
        <f t="array" ref="M94">_xlfn.IFS(
L94&gt;50,"Old Age",
L94&gt;=31,"Middle Age",
L94&lt;31,"Young Age"
)</f>
        <v>Middle Age</v>
      </c>
      <c r="N94" t="s">
        <v>15</v>
      </c>
      <c r="O94" t="str" cm="1">
        <f t="array" ref="O94">_xlfn.IFS(D94&gt;120000, "High Income", D94&gt;=80000, "Average Income", D94&lt;80000, "Low Income")</f>
        <v>Low Income</v>
      </c>
      <c r="P94">
        <f>IF(Table24[[#This Row],[Purchased Bike]]="Yes",1,0)</f>
        <v>1</v>
      </c>
    </row>
    <row r="95" spans="1:16" hidden="1" x14ac:dyDescent="0.25">
      <c r="A95">
        <v>15608</v>
      </c>
      <c r="B95" t="s">
        <v>35</v>
      </c>
      <c r="C95" t="s">
        <v>33</v>
      </c>
      <c r="D95" s="2">
        <v>30000</v>
      </c>
      <c r="E95">
        <v>0</v>
      </c>
      <c r="F95" t="s">
        <v>19</v>
      </c>
      <c r="G95" t="s">
        <v>20</v>
      </c>
      <c r="H95" t="s">
        <v>18</v>
      </c>
      <c r="I95">
        <v>1</v>
      </c>
      <c r="J95" t="s">
        <v>22</v>
      </c>
      <c r="K95" t="s">
        <v>17</v>
      </c>
      <c r="L95">
        <v>33</v>
      </c>
      <c r="M95" t="str" cm="1">
        <f t="array" ref="M95">_xlfn.IFS(
L95&gt;50,"Old Age",
L95&gt;=31,"Middle Age",
L95&lt;31,"Young Age"
)</f>
        <v>Middle Age</v>
      </c>
      <c r="N95" t="s">
        <v>18</v>
      </c>
      <c r="O95" t="str" cm="1">
        <f t="array" ref="O95">_xlfn.IFS(D95&gt;120000, "High Income", D95&gt;=80000, "Average Income", D95&lt;80000, "Low Income")</f>
        <v>Low Income</v>
      </c>
      <c r="P95">
        <f>IF(Table24[[#This Row],[Purchased Bike]]="Yes",1,0)</f>
        <v>0</v>
      </c>
    </row>
    <row r="96" spans="1:16" hidden="1" x14ac:dyDescent="0.25">
      <c r="A96">
        <v>16487</v>
      </c>
      <c r="B96" t="s">
        <v>35</v>
      </c>
      <c r="C96" t="s">
        <v>33</v>
      </c>
      <c r="D96" s="2">
        <v>30000</v>
      </c>
      <c r="E96">
        <v>3</v>
      </c>
      <c r="F96" t="s">
        <v>27</v>
      </c>
      <c r="G96" t="s">
        <v>14</v>
      </c>
      <c r="H96" t="s">
        <v>15</v>
      </c>
      <c r="I96">
        <v>2</v>
      </c>
      <c r="J96" t="s">
        <v>23</v>
      </c>
      <c r="K96" t="s">
        <v>24</v>
      </c>
      <c r="L96">
        <v>55</v>
      </c>
      <c r="M96" t="str" cm="1">
        <f t="array" ref="M96">_xlfn.IFS(
L96&gt;50,"Old Age",
L96&gt;=31,"Middle Age",
L96&lt;31,"Young Age"
)</f>
        <v>Old Age</v>
      </c>
      <c r="N96" t="s">
        <v>18</v>
      </c>
      <c r="O96" t="str" cm="1">
        <f t="array" ref="O96">_xlfn.IFS(D96&gt;120000, "High Income", D96&gt;=80000, "Average Income", D96&lt;80000, "Low Income")</f>
        <v>Low Income</v>
      </c>
      <c r="P96">
        <f>IF(Table24[[#This Row],[Purchased Bike]]="Yes",1,0)</f>
        <v>0</v>
      </c>
    </row>
    <row r="97" spans="1:16" hidden="1" x14ac:dyDescent="0.25">
      <c r="A97">
        <v>17197</v>
      </c>
      <c r="B97" t="s">
        <v>35</v>
      </c>
      <c r="C97" t="s">
        <v>33</v>
      </c>
      <c r="D97" s="2">
        <v>90000</v>
      </c>
      <c r="E97">
        <v>5</v>
      </c>
      <c r="F97" t="s">
        <v>19</v>
      </c>
      <c r="G97" t="s">
        <v>21</v>
      </c>
      <c r="H97" t="s">
        <v>15</v>
      </c>
      <c r="I97">
        <v>2</v>
      </c>
      <c r="J97" t="s">
        <v>30</v>
      </c>
      <c r="K97" t="s">
        <v>17</v>
      </c>
      <c r="L97">
        <v>62</v>
      </c>
      <c r="M97" t="str" cm="1">
        <f t="array" ref="M97">_xlfn.IFS(
L97&gt;50,"Old Age",
L97&gt;=31,"Middle Age",
L97&lt;31,"Young Age"
)</f>
        <v>Old Age</v>
      </c>
      <c r="N97" t="s">
        <v>18</v>
      </c>
      <c r="O97" t="str" cm="1">
        <f t="array" ref="O97">_xlfn.IFS(D97&gt;120000, "High Income", D97&gt;=80000, "Average Income", D97&lt;80000, "Low Income")</f>
        <v>Average Income</v>
      </c>
      <c r="P97">
        <f>IF(Table24[[#This Row],[Purchased Bike]]="Yes",1,0)</f>
        <v>0</v>
      </c>
    </row>
    <row r="98" spans="1:16" hidden="1" x14ac:dyDescent="0.25">
      <c r="A98">
        <v>12507</v>
      </c>
      <c r="B98" t="s">
        <v>34</v>
      </c>
      <c r="C98" t="s">
        <v>34</v>
      </c>
      <c r="D98" s="2">
        <v>30000</v>
      </c>
      <c r="E98">
        <v>1</v>
      </c>
      <c r="F98" t="s">
        <v>19</v>
      </c>
      <c r="G98" t="s">
        <v>20</v>
      </c>
      <c r="H98" t="s">
        <v>15</v>
      </c>
      <c r="I98">
        <v>1</v>
      </c>
      <c r="J98" t="s">
        <v>16</v>
      </c>
      <c r="K98" t="s">
        <v>17</v>
      </c>
      <c r="L98">
        <v>43</v>
      </c>
      <c r="M98" t="str" cm="1">
        <f t="array" ref="M98">_xlfn.IFS(
L98&gt;50,"Old Age",
L98&gt;=31,"Middle Age",
L98&lt;31,"Young Age"
)</f>
        <v>Middle Age</v>
      </c>
      <c r="N98" t="s">
        <v>18</v>
      </c>
      <c r="O98" t="str" cm="1">
        <f t="array" ref="O98">_xlfn.IFS(D98&gt;120000, "High Income", D98&gt;=80000, "Average Income", D98&lt;80000, "Low Income")</f>
        <v>Low Income</v>
      </c>
      <c r="P98">
        <f>IF(Table24[[#This Row],[Purchased Bike]]="Yes",1,0)</f>
        <v>0</v>
      </c>
    </row>
    <row r="99" spans="1:16" x14ac:dyDescent="0.25">
      <c r="A99">
        <v>23940</v>
      </c>
      <c r="B99" t="s">
        <v>34</v>
      </c>
      <c r="C99" t="s">
        <v>34</v>
      </c>
      <c r="D99" s="2">
        <v>40000</v>
      </c>
      <c r="E99">
        <v>1</v>
      </c>
      <c r="F99" t="s">
        <v>13</v>
      </c>
      <c r="G99" t="s">
        <v>14</v>
      </c>
      <c r="H99" t="s">
        <v>15</v>
      </c>
      <c r="I99">
        <v>1</v>
      </c>
      <c r="J99" t="s">
        <v>16</v>
      </c>
      <c r="K99" t="s">
        <v>17</v>
      </c>
      <c r="L99">
        <v>44</v>
      </c>
      <c r="M99" t="str" cm="1">
        <f t="array" ref="M99">_xlfn.IFS(
L99&gt;50,"Old Age",
L99&gt;=31,"Middle Age",
L99&lt;31,"Young Age"
)</f>
        <v>Middle Age</v>
      </c>
      <c r="N99" t="s">
        <v>15</v>
      </c>
      <c r="O99" t="str" cm="1">
        <f t="array" ref="O99">_xlfn.IFS(D99&gt;120000, "High Income", D99&gt;=80000, "Average Income", D99&lt;80000, "Low Income")</f>
        <v>Low Income</v>
      </c>
      <c r="P99">
        <f>IF(Table24[[#This Row],[Purchased Bike]]="Yes",1,0)</f>
        <v>1</v>
      </c>
    </row>
    <row r="100" spans="1:16" hidden="1" x14ac:dyDescent="0.25">
      <c r="A100">
        <v>19441</v>
      </c>
      <c r="B100" t="s">
        <v>34</v>
      </c>
      <c r="C100" t="s">
        <v>34</v>
      </c>
      <c r="D100" s="2">
        <v>40000</v>
      </c>
      <c r="E100">
        <v>0</v>
      </c>
      <c r="F100" t="s">
        <v>31</v>
      </c>
      <c r="G100" t="s">
        <v>20</v>
      </c>
      <c r="H100" t="s">
        <v>15</v>
      </c>
      <c r="I100">
        <v>0</v>
      </c>
      <c r="J100" t="s">
        <v>16</v>
      </c>
      <c r="K100" t="s">
        <v>17</v>
      </c>
      <c r="L100">
        <v>25</v>
      </c>
      <c r="M100" t="str" cm="1">
        <f t="array" ref="M100">_xlfn.IFS(
L100&gt;50,"Old Age",
L100&gt;=31,"Middle Age",
L100&lt;31,"Young Age"
)</f>
        <v>Young Age</v>
      </c>
      <c r="N100" t="s">
        <v>15</v>
      </c>
      <c r="O100" t="str" cm="1">
        <f t="array" ref="O100">_xlfn.IFS(D100&gt;120000, "High Income", D100&gt;=80000, "Average Income", D100&lt;80000, "Low Income")</f>
        <v>Low Income</v>
      </c>
      <c r="P100">
        <f>IF(Table24[[#This Row],[Purchased Bike]]="Yes",1,0)</f>
        <v>1</v>
      </c>
    </row>
    <row r="101" spans="1:16" hidden="1" x14ac:dyDescent="0.25">
      <c r="A101">
        <v>26852</v>
      </c>
      <c r="B101" t="s">
        <v>34</v>
      </c>
      <c r="C101" t="s">
        <v>33</v>
      </c>
      <c r="D101" s="2">
        <v>20000</v>
      </c>
      <c r="E101">
        <v>3</v>
      </c>
      <c r="F101" t="s">
        <v>27</v>
      </c>
      <c r="G101" t="s">
        <v>25</v>
      </c>
      <c r="H101" t="s">
        <v>15</v>
      </c>
      <c r="I101">
        <v>2</v>
      </c>
      <c r="J101" t="s">
        <v>16</v>
      </c>
      <c r="K101" t="s">
        <v>17</v>
      </c>
      <c r="L101">
        <v>43</v>
      </c>
      <c r="M101" t="str" cm="1">
        <f t="array" ref="M101">_xlfn.IFS(
L101&gt;50,"Old Age",
L101&gt;=31,"Middle Age",
L101&lt;31,"Young Age"
)</f>
        <v>Middle Age</v>
      </c>
      <c r="N101" t="s">
        <v>18</v>
      </c>
      <c r="O101" t="str" cm="1">
        <f t="array" ref="O101">_xlfn.IFS(D101&gt;120000, "High Income", D101&gt;=80000, "Average Income", D101&lt;80000, "Low Income")</f>
        <v>Low Income</v>
      </c>
      <c r="P101">
        <f>IF(Table24[[#This Row],[Purchased Bike]]="Yes",1,0)</f>
        <v>0</v>
      </c>
    </row>
    <row r="102" spans="1:16" hidden="1" x14ac:dyDescent="0.25">
      <c r="A102">
        <v>12274</v>
      </c>
      <c r="B102" t="s">
        <v>35</v>
      </c>
      <c r="C102" t="s">
        <v>34</v>
      </c>
      <c r="D102" s="2">
        <v>10000</v>
      </c>
      <c r="E102">
        <v>2</v>
      </c>
      <c r="F102" t="s">
        <v>27</v>
      </c>
      <c r="G102" t="s">
        <v>25</v>
      </c>
      <c r="H102" t="s">
        <v>15</v>
      </c>
      <c r="I102">
        <v>0</v>
      </c>
      <c r="J102" t="s">
        <v>16</v>
      </c>
      <c r="K102" t="s">
        <v>17</v>
      </c>
      <c r="L102">
        <v>35</v>
      </c>
      <c r="M102" t="str" cm="1">
        <f t="array" ref="M102">_xlfn.IFS(
L102&gt;50,"Old Age",
L102&gt;=31,"Middle Age",
L102&lt;31,"Young Age"
)</f>
        <v>Middle Age</v>
      </c>
      <c r="N102" t="s">
        <v>18</v>
      </c>
      <c r="O102" t="str" cm="1">
        <f t="array" ref="O102">_xlfn.IFS(D102&gt;120000, "High Income", D102&gt;=80000, "Average Income", D102&lt;80000, "Low Income")</f>
        <v>Low Income</v>
      </c>
      <c r="P102">
        <f>IF(Table24[[#This Row],[Purchased Bike]]="Yes",1,0)</f>
        <v>0</v>
      </c>
    </row>
    <row r="103" spans="1:16" x14ac:dyDescent="0.25">
      <c r="A103">
        <v>20236</v>
      </c>
      <c r="B103" t="s">
        <v>35</v>
      </c>
      <c r="C103" t="s">
        <v>34</v>
      </c>
      <c r="D103" s="2">
        <v>60000</v>
      </c>
      <c r="E103">
        <v>3</v>
      </c>
      <c r="F103" t="s">
        <v>13</v>
      </c>
      <c r="G103" t="s">
        <v>21</v>
      </c>
      <c r="H103" t="s">
        <v>18</v>
      </c>
      <c r="I103">
        <v>2</v>
      </c>
      <c r="J103" t="s">
        <v>16</v>
      </c>
      <c r="K103" t="s">
        <v>24</v>
      </c>
      <c r="L103">
        <v>43</v>
      </c>
      <c r="M103" t="str" cm="1">
        <f t="array" ref="M103">_xlfn.IFS(
L103&gt;50,"Old Age",
L103&gt;=31,"Middle Age",
L103&lt;31,"Young Age"
)</f>
        <v>Middle Age</v>
      </c>
      <c r="N103" t="s">
        <v>15</v>
      </c>
      <c r="O103" t="str" cm="1">
        <f t="array" ref="O103">_xlfn.IFS(D103&gt;120000, "High Income", D103&gt;=80000, "Average Income", D103&lt;80000, "Low Income")</f>
        <v>Low Income</v>
      </c>
      <c r="P103">
        <f>IF(Table24[[#This Row],[Purchased Bike]]="Yes",1,0)</f>
        <v>1</v>
      </c>
    </row>
    <row r="104" spans="1:16" hidden="1" x14ac:dyDescent="0.25">
      <c r="A104">
        <v>24149</v>
      </c>
      <c r="B104" t="s">
        <v>34</v>
      </c>
      <c r="C104" t="s">
        <v>34</v>
      </c>
      <c r="D104" s="2">
        <v>10000</v>
      </c>
      <c r="E104">
        <v>2</v>
      </c>
      <c r="F104" t="s">
        <v>19</v>
      </c>
      <c r="G104" t="s">
        <v>25</v>
      </c>
      <c r="H104" t="s">
        <v>15</v>
      </c>
      <c r="I104">
        <v>0</v>
      </c>
      <c r="J104" t="s">
        <v>26</v>
      </c>
      <c r="K104" t="s">
        <v>17</v>
      </c>
      <c r="L104">
        <v>49</v>
      </c>
      <c r="M104" t="str" cm="1">
        <f t="array" ref="M104">_xlfn.IFS(
L104&gt;50,"Old Age",
L104&gt;=31,"Middle Age",
L104&lt;31,"Young Age"
)</f>
        <v>Middle Age</v>
      </c>
      <c r="N104" t="s">
        <v>18</v>
      </c>
      <c r="O104" t="str" cm="1">
        <f t="array" ref="O104">_xlfn.IFS(D104&gt;120000, "High Income", D104&gt;=80000, "Average Income", D104&lt;80000, "Low Income")</f>
        <v>Low Income</v>
      </c>
      <c r="P104">
        <f>IF(Table24[[#This Row],[Purchased Bike]]="Yes",1,0)</f>
        <v>0</v>
      </c>
    </row>
    <row r="105" spans="1:16" hidden="1" x14ac:dyDescent="0.25">
      <c r="A105">
        <v>26139</v>
      </c>
      <c r="B105" t="s">
        <v>35</v>
      </c>
      <c r="C105" t="s">
        <v>34</v>
      </c>
      <c r="D105" s="2">
        <v>60000</v>
      </c>
      <c r="E105">
        <v>1</v>
      </c>
      <c r="F105" t="s">
        <v>19</v>
      </c>
      <c r="G105" t="s">
        <v>14</v>
      </c>
      <c r="H105" t="s">
        <v>15</v>
      </c>
      <c r="I105">
        <v>1</v>
      </c>
      <c r="J105" t="s">
        <v>23</v>
      </c>
      <c r="K105" t="s">
        <v>24</v>
      </c>
      <c r="L105">
        <v>45</v>
      </c>
      <c r="M105" t="str" cm="1">
        <f t="array" ref="M105">_xlfn.IFS(
L105&gt;50,"Old Age",
L105&gt;=31,"Middle Age",
L105&lt;31,"Young Age"
)</f>
        <v>Middle Age</v>
      </c>
      <c r="N105" t="s">
        <v>18</v>
      </c>
      <c r="O105" t="str" cm="1">
        <f t="array" ref="O105">_xlfn.IFS(D105&gt;120000, "High Income", D105&gt;=80000, "Average Income", D105&lt;80000, "Low Income")</f>
        <v>Low Income</v>
      </c>
      <c r="P105">
        <f>IF(Table24[[#This Row],[Purchased Bike]]="Yes",1,0)</f>
        <v>0</v>
      </c>
    </row>
    <row r="106" spans="1:16" x14ac:dyDescent="0.25">
      <c r="A106">
        <v>18491</v>
      </c>
      <c r="B106" t="s">
        <v>35</v>
      </c>
      <c r="C106" t="s">
        <v>33</v>
      </c>
      <c r="D106" s="2">
        <v>70000</v>
      </c>
      <c r="E106">
        <v>2</v>
      </c>
      <c r="F106" t="s">
        <v>27</v>
      </c>
      <c r="G106" t="s">
        <v>21</v>
      </c>
      <c r="H106" t="s">
        <v>15</v>
      </c>
      <c r="I106">
        <v>2</v>
      </c>
      <c r="J106" t="s">
        <v>23</v>
      </c>
      <c r="K106" t="s">
        <v>24</v>
      </c>
      <c r="L106">
        <v>49</v>
      </c>
      <c r="M106" t="str" cm="1">
        <f t="array" ref="M106">_xlfn.IFS(
L106&gt;50,"Old Age",
L106&gt;=31,"Middle Age",
L106&lt;31,"Young Age"
)</f>
        <v>Middle Age</v>
      </c>
      <c r="N106" t="s">
        <v>15</v>
      </c>
      <c r="O106" t="str" cm="1">
        <f t="array" ref="O106">_xlfn.IFS(D106&gt;120000, "High Income", D106&gt;=80000, "Average Income", D106&lt;80000, "Low Income")</f>
        <v>Low Income</v>
      </c>
      <c r="P106">
        <f>IF(Table24[[#This Row],[Purchased Bike]]="Yes",1,0)</f>
        <v>1</v>
      </c>
    </row>
    <row r="107" spans="1:16" hidden="1" x14ac:dyDescent="0.25">
      <c r="A107">
        <v>22707</v>
      </c>
      <c r="B107" t="s">
        <v>35</v>
      </c>
      <c r="C107" t="s">
        <v>33</v>
      </c>
      <c r="D107" s="2">
        <v>30000</v>
      </c>
      <c r="E107">
        <v>0</v>
      </c>
      <c r="F107" t="s">
        <v>19</v>
      </c>
      <c r="G107" t="s">
        <v>20</v>
      </c>
      <c r="H107" t="s">
        <v>18</v>
      </c>
      <c r="I107">
        <v>1</v>
      </c>
      <c r="J107" t="s">
        <v>22</v>
      </c>
      <c r="K107" t="s">
        <v>17</v>
      </c>
      <c r="L107">
        <v>30</v>
      </c>
      <c r="M107" t="str" cm="1">
        <f t="array" ref="M107">_xlfn.IFS(
L107&gt;50,"Old Age",
L107&gt;=31,"Middle Age",
L107&lt;31,"Young Age"
)</f>
        <v>Young Age</v>
      </c>
      <c r="N107" t="s">
        <v>18</v>
      </c>
      <c r="O107" t="str" cm="1">
        <f t="array" ref="O107">_xlfn.IFS(D107&gt;120000, "High Income", D107&gt;=80000, "Average Income", D107&lt;80000, "Low Income")</f>
        <v>Low Income</v>
      </c>
      <c r="P107">
        <f>IF(Table24[[#This Row],[Purchased Bike]]="Yes",1,0)</f>
        <v>0</v>
      </c>
    </row>
    <row r="108" spans="1:16" hidden="1" x14ac:dyDescent="0.25">
      <c r="A108">
        <v>20430</v>
      </c>
      <c r="B108" t="s">
        <v>34</v>
      </c>
      <c r="C108" t="s">
        <v>34</v>
      </c>
      <c r="D108" s="2">
        <v>70000</v>
      </c>
      <c r="E108">
        <v>2</v>
      </c>
      <c r="F108" t="s">
        <v>19</v>
      </c>
      <c r="G108" t="s">
        <v>14</v>
      </c>
      <c r="H108" t="s">
        <v>15</v>
      </c>
      <c r="I108">
        <v>2</v>
      </c>
      <c r="J108" t="s">
        <v>23</v>
      </c>
      <c r="K108" t="s">
        <v>24</v>
      </c>
      <c r="L108">
        <v>52</v>
      </c>
      <c r="M108" t="str" cm="1">
        <f t="array" ref="M108">_xlfn.IFS(
L108&gt;50,"Old Age",
L108&gt;=31,"Middle Age",
L108&lt;31,"Young Age"
)</f>
        <v>Old Age</v>
      </c>
      <c r="N108" t="s">
        <v>15</v>
      </c>
      <c r="O108" t="str" cm="1">
        <f t="array" ref="O108">_xlfn.IFS(D108&gt;120000, "High Income", D108&gt;=80000, "Average Income", D108&lt;80000, "Low Income")</f>
        <v>Low Income</v>
      </c>
      <c r="P108">
        <f>IF(Table24[[#This Row],[Purchased Bike]]="Yes",1,0)</f>
        <v>1</v>
      </c>
    </row>
    <row r="109" spans="1:16" hidden="1" x14ac:dyDescent="0.25">
      <c r="A109">
        <v>27494</v>
      </c>
      <c r="B109" t="s">
        <v>35</v>
      </c>
      <c r="C109" t="s">
        <v>33</v>
      </c>
      <c r="D109" s="2">
        <v>40000</v>
      </c>
      <c r="E109">
        <v>2</v>
      </c>
      <c r="F109" t="s">
        <v>19</v>
      </c>
      <c r="G109" t="s">
        <v>14</v>
      </c>
      <c r="H109" t="s">
        <v>18</v>
      </c>
      <c r="I109">
        <v>2</v>
      </c>
      <c r="J109" t="s">
        <v>26</v>
      </c>
      <c r="K109" t="s">
        <v>24</v>
      </c>
      <c r="L109">
        <v>53</v>
      </c>
      <c r="M109" t="str" cm="1">
        <f t="array" ref="M109">_xlfn.IFS(
L109&gt;50,"Old Age",
L109&gt;=31,"Middle Age",
L109&lt;31,"Young Age"
)</f>
        <v>Old Age</v>
      </c>
      <c r="N109" t="s">
        <v>15</v>
      </c>
      <c r="O109" t="str" cm="1">
        <f t="array" ref="O109">_xlfn.IFS(D109&gt;120000, "High Income", D109&gt;=80000, "Average Income", D109&lt;80000, "Low Income")</f>
        <v>Low Income</v>
      </c>
      <c r="P109">
        <f>IF(Table24[[#This Row],[Purchased Bike]]="Yes",1,0)</f>
        <v>1</v>
      </c>
    </row>
    <row r="110" spans="1:16" x14ac:dyDescent="0.25">
      <c r="A110">
        <v>26829</v>
      </c>
      <c r="B110" t="s">
        <v>34</v>
      </c>
      <c r="C110" t="s">
        <v>33</v>
      </c>
      <c r="D110" s="2">
        <v>40000</v>
      </c>
      <c r="E110">
        <v>0</v>
      </c>
      <c r="F110" t="s">
        <v>13</v>
      </c>
      <c r="G110" t="s">
        <v>20</v>
      </c>
      <c r="H110" t="s">
        <v>15</v>
      </c>
      <c r="I110">
        <v>0</v>
      </c>
      <c r="J110" t="s">
        <v>16</v>
      </c>
      <c r="K110" t="s">
        <v>17</v>
      </c>
      <c r="L110">
        <v>38</v>
      </c>
      <c r="M110" t="str" cm="1">
        <f t="array" ref="M110">_xlfn.IFS(
L110&gt;50,"Old Age",
L110&gt;=31,"Middle Age",
L110&lt;31,"Young Age"
)</f>
        <v>Middle Age</v>
      </c>
      <c r="N110" t="s">
        <v>15</v>
      </c>
      <c r="O110" t="str" cm="1">
        <f t="array" ref="O110">_xlfn.IFS(D110&gt;120000, "High Income", D110&gt;=80000, "Average Income", D110&lt;80000, "Low Income")</f>
        <v>Low Income</v>
      </c>
      <c r="P110">
        <f>IF(Table24[[#This Row],[Purchased Bike]]="Yes",1,0)</f>
        <v>1</v>
      </c>
    </row>
    <row r="111" spans="1:16" x14ac:dyDescent="0.25">
      <c r="A111">
        <v>28395</v>
      </c>
      <c r="B111" t="s">
        <v>35</v>
      </c>
      <c r="C111" t="s">
        <v>34</v>
      </c>
      <c r="D111" s="2">
        <v>40000</v>
      </c>
      <c r="E111">
        <v>0</v>
      </c>
      <c r="F111" t="s">
        <v>13</v>
      </c>
      <c r="G111" t="s">
        <v>21</v>
      </c>
      <c r="H111" t="s">
        <v>18</v>
      </c>
      <c r="I111">
        <v>0</v>
      </c>
      <c r="J111" t="s">
        <v>16</v>
      </c>
      <c r="K111" t="s">
        <v>17</v>
      </c>
      <c r="L111">
        <v>39</v>
      </c>
      <c r="M111" t="str" cm="1">
        <f t="array" ref="M111">_xlfn.IFS(
L111&gt;50,"Old Age",
L111&gt;=31,"Middle Age",
L111&lt;31,"Young Age"
)</f>
        <v>Middle Age</v>
      </c>
      <c r="N111" t="s">
        <v>15</v>
      </c>
      <c r="O111" t="str" cm="1">
        <f t="array" ref="O111">_xlfn.IFS(D111&gt;120000, "High Income", D111&gt;=80000, "Average Income", D111&lt;80000, "Low Income")</f>
        <v>Low Income</v>
      </c>
      <c r="P111">
        <f>IF(Table24[[#This Row],[Purchased Bike]]="Yes",1,0)</f>
        <v>1</v>
      </c>
    </row>
    <row r="112" spans="1:16" x14ac:dyDescent="0.25">
      <c r="A112">
        <v>21006</v>
      </c>
      <c r="B112" t="s">
        <v>35</v>
      </c>
      <c r="C112" t="s">
        <v>33</v>
      </c>
      <c r="D112" s="2">
        <v>30000</v>
      </c>
      <c r="E112">
        <v>1</v>
      </c>
      <c r="F112" t="s">
        <v>19</v>
      </c>
      <c r="G112" t="s">
        <v>25</v>
      </c>
      <c r="H112" t="s">
        <v>18</v>
      </c>
      <c r="I112">
        <v>0</v>
      </c>
      <c r="J112" t="s">
        <v>16</v>
      </c>
      <c r="K112" t="s">
        <v>17</v>
      </c>
      <c r="L112">
        <v>46</v>
      </c>
      <c r="M112" t="str" cm="1">
        <f t="array" ref="M112">_xlfn.IFS(
L112&gt;50,"Old Age",
L112&gt;=31,"Middle Age",
L112&lt;31,"Young Age"
)</f>
        <v>Middle Age</v>
      </c>
      <c r="N112" t="s">
        <v>15</v>
      </c>
      <c r="O112" t="str" cm="1">
        <f t="array" ref="O112">_xlfn.IFS(D112&gt;120000, "High Income", D112&gt;=80000, "Average Income", D112&lt;80000, "Low Income")</f>
        <v>Low Income</v>
      </c>
      <c r="P112">
        <f>IF(Table24[[#This Row],[Purchased Bike]]="Yes",1,0)</f>
        <v>1</v>
      </c>
    </row>
    <row r="113" spans="1:16" hidden="1" x14ac:dyDescent="0.25">
      <c r="A113">
        <v>14682</v>
      </c>
      <c r="B113" t="s">
        <v>35</v>
      </c>
      <c r="C113" t="s">
        <v>33</v>
      </c>
      <c r="D113" s="2">
        <v>70000</v>
      </c>
      <c r="E113">
        <v>0</v>
      </c>
      <c r="F113" t="s">
        <v>13</v>
      </c>
      <c r="G113" t="s">
        <v>21</v>
      </c>
      <c r="H113" t="s">
        <v>18</v>
      </c>
      <c r="I113">
        <v>1</v>
      </c>
      <c r="J113" t="s">
        <v>23</v>
      </c>
      <c r="K113" t="s">
        <v>24</v>
      </c>
      <c r="L113">
        <v>38</v>
      </c>
      <c r="M113" t="str" cm="1">
        <f t="array" ref="M113">_xlfn.IFS(
L113&gt;50,"Old Age",
L113&gt;=31,"Middle Age",
L113&lt;31,"Young Age"
)</f>
        <v>Middle Age</v>
      </c>
      <c r="N113" t="s">
        <v>18</v>
      </c>
      <c r="O113" t="str" cm="1">
        <f t="array" ref="O113">_xlfn.IFS(D113&gt;120000, "High Income", D113&gt;=80000, "Average Income", D113&lt;80000, "Low Income")</f>
        <v>Low Income</v>
      </c>
      <c r="P113">
        <f>IF(Table24[[#This Row],[Purchased Bike]]="Yes",1,0)</f>
        <v>0</v>
      </c>
    </row>
    <row r="114" spans="1:16" hidden="1" x14ac:dyDescent="0.25">
      <c r="A114">
        <v>17650</v>
      </c>
      <c r="B114" t="s">
        <v>35</v>
      </c>
      <c r="C114" t="s">
        <v>33</v>
      </c>
      <c r="D114" s="2">
        <v>40000</v>
      </c>
      <c r="E114">
        <v>2</v>
      </c>
      <c r="F114" t="s">
        <v>19</v>
      </c>
      <c r="G114" t="s">
        <v>20</v>
      </c>
      <c r="H114" t="s">
        <v>15</v>
      </c>
      <c r="I114">
        <v>2</v>
      </c>
      <c r="J114" t="s">
        <v>26</v>
      </c>
      <c r="K114" t="s">
        <v>17</v>
      </c>
      <c r="L114">
        <v>35</v>
      </c>
      <c r="M114" t="str" cm="1">
        <f t="array" ref="M114">_xlfn.IFS(
L114&gt;50,"Old Age",
L114&gt;=31,"Middle Age",
L114&lt;31,"Young Age"
)</f>
        <v>Middle Age</v>
      </c>
      <c r="N114" t="s">
        <v>18</v>
      </c>
      <c r="O114" t="str" cm="1">
        <f t="array" ref="O114">_xlfn.IFS(D114&gt;120000, "High Income", D114&gt;=80000, "Average Income", D114&lt;80000, "Low Income")</f>
        <v>Low Income</v>
      </c>
      <c r="P114">
        <f>IF(Table24[[#This Row],[Purchased Bike]]="Yes",1,0)</f>
        <v>0</v>
      </c>
    </row>
    <row r="115" spans="1:16" x14ac:dyDescent="0.25">
      <c r="A115">
        <v>29191</v>
      </c>
      <c r="B115" t="s">
        <v>35</v>
      </c>
      <c r="C115" t="s">
        <v>33</v>
      </c>
      <c r="D115" s="2">
        <v>130000</v>
      </c>
      <c r="E115">
        <v>1</v>
      </c>
      <c r="F115" t="s">
        <v>31</v>
      </c>
      <c r="G115" t="s">
        <v>28</v>
      </c>
      <c r="H115" t="s">
        <v>18</v>
      </c>
      <c r="I115">
        <v>1</v>
      </c>
      <c r="J115" t="s">
        <v>16</v>
      </c>
      <c r="K115" t="s">
        <v>24</v>
      </c>
      <c r="L115">
        <v>36</v>
      </c>
      <c r="M115" t="str" cm="1">
        <f t="array" ref="M115">_xlfn.IFS(
L115&gt;50,"Old Age",
L115&gt;=31,"Middle Age",
L115&lt;31,"Young Age"
)</f>
        <v>Middle Age</v>
      </c>
      <c r="N115" t="s">
        <v>15</v>
      </c>
      <c r="O115" t="str" cm="1">
        <f t="array" ref="O115">_xlfn.IFS(D115&gt;120000, "High Income", D115&gt;=80000, "Average Income", D115&lt;80000, "Low Income")</f>
        <v>High Income</v>
      </c>
      <c r="P115">
        <f>IF(Table24[[#This Row],[Purchased Bike]]="Yes",1,0)</f>
        <v>1</v>
      </c>
    </row>
    <row r="116" spans="1:16" hidden="1" x14ac:dyDescent="0.25">
      <c r="A116">
        <v>15030</v>
      </c>
      <c r="B116" t="s">
        <v>34</v>
      </c>
      <c r="C116" t="s">
        <v>34</v>
      </c>
      <c r="D116" s="2">
        <v>20000</v>
      </c>
      <c r="E116">
        <v>0</v>
      </c>
      <c r="F116" t="s">
        <v>13</v>
      </c>
      <c r="G116" t="s">
        <v>20</v>
      </c>
      <c r="H116" t="s">
        <v>15</v>
      </c>
      <c r="I116">
        <v>0</v>
      </c>
      <c r="J116" t="s">
        <v>16</v>
      </c>
      <c r="K116" t="s">
        <v>24</v>
      </c>
      <c r="L116">
        <v>26</v>
      </c>
      <c r="M116" t="str" cm="1">
        <f t="array" ref="M116">_xlfn.IFS(
L116&gt;50,"Old Age",
L116&gt;=31,"Middle Age",
L116&lt;31,"Young Age"
)</f>
        <v>Young Age</v>
      </c>
      <c r="N116" t="s">
        <v>15</v>
      </c>
      <c r="O116" t="str" cm="1">
        <f t="array" ref="O116">_xlfn.IFS(D116&gt;120000, "High Income", D116&gt;=80000, "Average Income", D116&lt;80000, "Low Income")</f>
        <v>Low Income</v>
      </c>
      <c r="P116">
        <f>IF(Table24[[#This Row],[Purchased Bike]]="Yes",1,0)</f>
        <v>1</v>
      </c>
    </row>
    <row r="117" spans="1:16" hidden="1" x14ac:dyDescent="0.25">
      <c r="A117">
        <v>24140</v>
      </c>
      <c r="B117" t="s">
        <v>35</v>
      </c>
      <c r="C117" t="s">
        <v>34</v>
      </c>
      <c r="D117" s="2">
        <v>10000</v>
      </c>
      <c r="E117">
        <v>0</v>
      </c>
      <c r="F117" t="s">
        <v>31</v>
      </c>
      <c r="G117" t="s">
        <v>25</v>
      </c>
      <c r="H117" t="s">
        <v>18</v>
      </c>
      <c r="I117">
        <v>0</v>
      </c>
      <c r="J117" t="s">
        <v>16</v>
      </c>
      <c r="K117" t="s">
        <v>17</v>
      </c>
      <c r="L117">
        <v>30</v>
      </c>
      <c r="M117" t="str" cm="1">
        <f t="array" ref="M117">_xlfn.IFS(
L117&gt;50,"Old Age",
L117&gt;=31,"Middle Age",
L117&lt;31,"Young Age"
)</f>
        <v>Young Age</v>
      </c>
      <c r="N117" t="s">
        <v>15</v>
      </c>
      <c r="O117" t="str" cm="1">
        <f t="array" ref="O117">_xlfn.IFS(D117&gt;120000, "High Income", D117&gt;=80000, "Average Income", D117&lt;80000, "Low Income")</f>
        <v>Low Income</v>
      </c>
      <c r="P117">
        <f>IF(Table24[[#This Row],[Purchased Bike]]="Yes",1,0)</f>
        <v>1</v>
      </c>
    </row>
    <row r="118" spans="1:16" hidden="1" x14ac:dyDescent="0.25">
      <c r="A118">
        <v>22496</v>
      </c>
      <c r="B118" t="s">
        <v>34</v>
      </c>
      <c r="C118" t="s">
        <v>33</v>
      </c>
      <c r="D118" s="2">
        <v>30000</v>
      </c>
      <c r="E118">
        <v>1</v>
      </c>
      <c r="F118" t="s">
        <v>13</v>
      </c>
      <c r="G118" t="s">
        <v>14</v>
      </c>
      <c r="H118" t="s">
        <v>15</v>
      </c>
      <c r="I118">
        <v>2</v>
      </c>
      <c r="J118" t="s">
        <v>16</v>
      </c>
      <c r="K118" t="s">
        <v>17</v>
      </c>
      <c r="L118">
        <v>42</v>
      </c>
      <c r="M118" t="str" cm="1">
        <f t="array" ref="M118">_xlfn.IFS(
L118&gt;50,"Old Age",
L118&gt;=31,"Middle Age",
L118&lt;31,"Young Age"
)</f>
        <v>Middle Age</v>
      </c>
      <c r="N118" t="s">
        <v>18</v>
      </c>
      <c r="O118" t="str" cm="1">
        <f t="array" ref="O118">_xlfn.IFS(D118&gt;120000, "High Income", D118&gt;=80000, "Average Income", D118&lt;80000, "Low Income")</f>
        <v>Low Income</v>
      </c>
      <c r="P118">
        <f>IF(Table24[[#This Row],[Purchased Bike]]="Yes",1,0)</f>
        <v>0</v>
      </c>
    </row>
    <row r="119" spans="1:16" x14ac:dyDescent="0.25">
      <c r="A119">
        <v>24065</v>
      </c>
      <c r="B119" t="s">
        <v>35</v>
      </c>
      <c r="C119" t="s">
        <v>33</v>
      </c>
      <c r="D119" s="2">
        <v>20000</v>
      </c>
      <c r="E119">
        <v>0</v>
      </c>
      <c r="F119" t="s">
        <v>27</v>
      </c>
      <c r="G119" t="s">
        <v>25</v>
      </c>
      <c r="H119" t="s">
        <v>15</v>
      </c>
      <c r="I119">
        <v>0</v>
      </c>
      <c r="J119" t="s">
        <v>16</v>
      </c>
      <c r="K119" t="s">
        <v>17</v>
      </c>
      <c r="L119">
        <v>40</v>
      </c>
      <c r="M119" t="str" cm="1">
        <f t="array" ref="M119">_xlfn.IFS(
L119&gt;50,"Old Age",
L119&gt;=31,"Middle Age",
L119&lt;31,"Young Age"
)</f>
        <v>Middle Age</v>
      </c>
      <c r="N119" t="s">
        <v>15</v>
      </c>
      <c r="O119" t="str" cm="1">
        <f t="array" ref="O119">_xlfn.IFS(D119&gt;120000, "High Income", D119&gt;=80000, "Average Income", D119&lt;80000, "Low Income")</f>
        <v>Low Income</v>
      </c>
      <c r="P119">
        <f>IF(Table24[[#This Row],[Purchased Bike]]="Yes",1,0)</f>
        <v>1</v>
      </c>
    </row>
    <row r="120" spans="1:16" hidden="1" x14ac:dyDescent="0.25">
      <c r="A120">
        <v>19914</v>
      </c>
      <c r="B120" t="s">
        <v>34</v>
      </c>
      <c r="C120" t="s">
        <v>34</v>
      </c>
      <c r="D120" s="2">
        <v>80000</v>
      </c>
      <c r="E120">
        <v>5</v>
      </c>
      <c r="F120" t="s">
        <v>13</v>
      </c>
      <c r="G120" t="s">
        <v>28</v>
      </c>
      <c r="H120" t="s">
        <v>15</v>
      </c>
      <c r="I120">
        <v>2</v>
      </c>
      <c r="J120" t="s">
        <v>22</v>
      </c>
      <c r="K120" t="s">
        <v>17</v>
      </c>
      <c r="L120">
        <v>62</v>
      </c>
      <c r="M120" t="str" cm="1">
        <f t="array" ref="M120">_xlfn.IFS(
L120&gt;50,"Old Age",
L120&gt;=31,"Middle Age",
L120&lt;31,"Young Age"
)</f>
        <v>Old Age</v>
      </c>
      <c r="N120" t="s">
        <v>18</v>
      </c>
      <c r="O120" t="str" cm="1">
        <f t="array" ref="O120">_xlfn.IFS(D120&gt;120000, "High Income", D120&gt;=80000, "Average Income", D120&lt;80000, "Low Income")</f>
        <v>Average Income</v>
      </c>
      <c r="P120">
        <f>IF(Table24[[#This Row],[Purchased Bike]]="Yes",1,0)</f>
        <v>0</v>
      </c>
    </row>
    <row r="121" spans="1:16" hidden="1" x14ac:dyDescent="0.25">
      <c r="A121">
        <v>12871</v>
      </c>
      <c r="B121" t="s">
        <v>35</v>
      </c>
      <c r="C121" t="s">
        <v>33</v>
      </c>
      <c r="D121" s="2">
        <v>30000</v>
      </c>
      <c r="E121">
        <v>0</v>
      </c>
      <c r="F121" t="s">
        <v>19</v>
      </c>
      <c r="G121" t="s">
        <v>20</v>
      </c>
      <c r="H121" t="s">
        <v>18</v>
      </c>
      <c r="I121">
        <v>1</v>
      </c>
      <c r="J121" t="s">
        <v>22</v>
      </c>
      <c r="K121" t="s">
        <v>17</v>
      </c>
      <c r="L121">
        <v>29</v>
      </c>
      <c r="M121" t="str" cm="1">
        <f t="array" ref="M121">_xlfn.IFS(
L121&gt;50,"Old Age",
L121&gt;=31,"Middle Age",
L121&lt;31,"Young Age"
)</f>
        <v>Young Age</v>
      </c>
      <c r="N121" t="s">
        <v>18</v>
      </c>
      <c r="O121" t="str" cm="1">
        <f t="array" ref="O121">_xlfn.IFS(D121&gt;120000, "High Income", D121&gt;=80000, "Average Income", D121&lt;80000, "Low Income")</f>
        <v>Low Income</v>
      </c>
      <c r="P121">
        <f>IF(Table24[[#This Row],[Purchased Bike]]="Yes",1,0)</f>
        <v>0</v>
      </c>
    </row>
    <row r="122" spans="1:16" hidden="1" x14ac:dyDescent="0.25">
      <c r="A122">
        <v>22988</v>
      </c>
      <c r="B122" t="s">
        <v>34</v>
      </c>
      <c r="C122" t="s">
        <v>33</v>
      </c>
      <c r="D122" s="2">
        <v>40000</v>
      </c>
      <c r="E122">
        <v>2</v>
      </c>
      <c r="F122" t="s">
        <v>13</v>
      </c>
      <c r="G122" t="s">
        <v>28</v>
      </c>
      <c r="H122" t="s">
        <v>15</v>
      </c>
      <c r="I122">
        <v>2</v>
      </c>
      <c r="J122" t="s">
        <v>23</v>
      </c>
      <c r="K122" t="s">
        <v>24</v>
      </c>
      <c r="L122">
        <v>66</v>
      </c>
      <c r="M122" t="str" cm="1">
        <f t="array" ref="M122">_xlfn.IFS(
L122&gt;50,"Old Age",
L122&gt;=31,"Middle Age",
L122&lt;31,"Young Age"
)</f>
        <v>Old Age</v>
      </c>
      <c r="N122" t="s">
        <v>15</v>
      </c>
      <c r="O122" t="str" cm="1">
        <f t="array" ref="O122">_xlfn.IFS(D122&gt;120000, "High Income", D122&gt;=80000, "Average Income", D122&lt;80000, "Low Income")</f>
        <v>Low Income</v>
      </c>
      <c r="P122">
        <f>IF(Table24[[#This Row],[Purchased Bike]]="Yes",1,0)</f>
        <v>1</v>
      </c>
    </row>
    <row r="123" spans="1:16" hidden="1" x14ac:dyDescent="0.25">
      <c r="A123">
        <v>15922</v>
      </c>
      <c r="B123" t="s">
        <v>34</v>
      </c>
      <c r="C123" t="s">
        <v>34</v>
      </c>
      <c r="D123" s="2">
        <v>150000</v>
      </c>
      <c r="E123">
        <v>2</v>
      </c>
      <c r="F123" t="s">
        <v>27</v>
      </c>
      <c r="G123" t="s">
        <v>21</v>
      </c>
      <c r="H123" t="s">
        <v>15</v>
      </c>
      <c r="I123">
        <v>4</v>
      </c>
      <c r="J123" t="s">
        <v>16</v>
      </c>
      <c r="K123" t="s">
        <v>17</v>
      </c>
      <c r="L123">
        <v>48</v>
      </c>
      <c r="M123" t="str" cm="1">
        <f t="array" ref="M123">_xlfn.IFS(
L123&gt;50,"Old Age",
L123&gt;=31,"Middle Age",
L123&lt;31,"Young Age"
)</f>
        <v>Middle Age</v>
      </c>
      <c r="N123" t="s">
        <v>18</v>
      </c>
      <c r="O123" t="str" cm="1">
        <f t="array" ref="O123">_xlfn.IFS(D123&gt;120000, "High Income", D123&gt;=80000, "Average Income", D123&lt;80000, "Low Income")</f>
        <v>High Income</v>
      </c>
      <c r="P123">
        <f>IF(Table24[[#This Row],[Purchased Bike]]="Yes",1,0)</f>
        <v>0</v>
      </c>
    </row>
    <row r="124" spans="1:16" hidden="1" x14ac:dyDescent="0.25">
      <c r="A124">
        <v>12344</v>
      </c>
      <c r="B124" t="s">
        <v>35</v>
      </c>
      <c r="C124" t="s">
        <v>33</v>
      </c>
      <c r="D124" s="2">
        <v>80000</v>
      </c>
      <c r="E124">
        <v>0</v>
      </c>
      <c r="F124" t="s">
        <v>13</v>
      </c>
      <c r="G124" t="s">
        <v>21</v>
      </c>
      <c r="H124" t="s">
        <v>18</v>
      </c>
      <c r="I124">
        <v>3</v>
      </c>
      <c r="J124" t="s">
        <v>30</v>
      </c>
      <c r="K124" t="s">
        <v>24</v>
      </c>
      <c r="L124">
        <v>31</v>
      </c>
      <c r="M124" t="str" cm="1">
        <f t="array" ref="M124">_xlfn.IFS(
L124&gt;50,"Old Age",
L124&gt;=31,"Middle Age",
L124&lt;31,"Young Age"
)</f>
        <v>Middle Age</v>
      </c>
      <c r="N124" t="s">
        <v>18</v>
      </c>
      <c r="O124" t="str" cm="1">
        <f t="array" ref="O124">_xlfn.IFS(D124&gt;120000, "High Income", D124&gt;=80000, "Average Income", D124&lt;80000, "Low Income")</f>
        <v>Average Income</v>
      </c>
      <c r="P124">
        <f>IF(Table24[[#This Row],[Purchased Bike]]="Yes",1,0)</f>
        <v>0</v>
      </c>
    </row>
    <row r="125" spans="1:16" hidden="1" x14ac:dyDescent="0.25">
      <c r="A125">
        <v>23627</v>
      </c>
      <c r="B125" t="s">
        <v>35</v>
      </c>
      <c r="C125" t="s">
        <v>33</v>
      </c>
      <c r="D125" s="2">
        <v>100000</v>
      </c>
      <c r="E125">
        <v>3</v>
      </c>
      <c r="F125" t="s">
        <v>19</v>
      </c>
      <c r="G125" t="s">
        <v>28</v>
      </c>
      <c r="H125" t="s">
        <v>18</v>
      </c>
      <c r="I125">
        <v>4</v>
      </c>
      <c r="J125" t="s">
        <v>23</v>
      </c>
      <c r="K125" t="s">
        <v>17</v>
      </c>
      <c r="L125">
        <v>56</v>
      </c>
      <c r="M125" t="str" cm="1">
        <f t="array" ref="M125">_xlfn.IFS(
L125&gt;50,"Old Age",
L125&gt;=31,"Middle Age",
L125&lt;31,"Young Age"
)</f>
        <v>Old Age</v>
      </c>
      <c r="N125" t="s">
        <v>18</v>
      </c>
      <c r="O125" t="str" cm="1">
        <f t="array" ref="O125">_xlfn.IFS(D125&gt;120000, "High Income", D125&gt;=80000, "Average Income", D125&lt;80000, "Low Income")</f>
        <v>Average Income</v>
      </c>
      <c r="P125">
        <f>IF(Table24[[#This Row],[Purchased Bike]]="Yes",1,0)</f>
        <v>0</v>
      </c>
    </row>
    <row r="126" spans="1:16" x14ac:dyDescent="0.25">
      <c r="A126">
        <v>27775</v>
      </c>
      <c r="B126" t="s">
        <v>35</v>
      </c>
      <c r="C126" t="s">
        <v>33</v>
      </c>
      <c r="D126" s="2">
        <v>40000</v>
      </c>
      <c r="E126">
        <v>0</v>
      </c>
      <c r="F126" t="s">
        <v>13</v>
      </c>
      <c r="G126" t="s">
        <v>20</v>
      </c>
      <c r="H126" t="s">
        <v>18</v>
      </c>
      <c r="I126">
        <v>0</v>
      </c>
      <c r="J126" t="s">
        <v>16</v>
      </c>
      <c r="K126" t="s">
        <v>17</v>
      </c>
      <c r="L126">
        <v>38</v>
      </c>
      <c r="M126" t="str" cm="1">
        <f t="array" ref="M126">_xlfn.IFS(
L126&gt;50,"Old Age",
L126&gt;=31,"Middle Age",
L126&lt;31,"Young Age"
)</f>
        <v>Middle Age</v>
      </c>
      <c r="N126" t="s">
        <v>15</v>
      </c>
      <c r="O126" t="str" cm="1">
        <f t="array" ref="O126">_xlfn.IFS(D126&gt;120000, "High Income", D126&gt;=80000, "Average Income", D126&lt;80000, "Low Income")</f>
        <v>Low Income</v>
      </c>
      <c r="P126">
        <f>IF(Table24[[#This Row],[Purchased Bike]]="Yes",1,0)</f>
        <v>1</v>
      </c>
    </row>
    <row r="127" spans="1:16" hidden="1" x14ac:dyDescent="0.25">
      <c r="A127">
        <v>29301</v>
      </c>
      <c r="B127" t="s">
        <v>34</v>
      </c>
      <c r="C127" t="s">
        <v>34</v>
      </c>
      <c r="D127" s="2">
        <v>80000</v>
      </c>
      <c r="E127">
        <v>5</v>
      </c>
      <c r="F127" t="s">
        <v>13</v>
      </c>
      <c r="G127" t="s">
        <v>21</v>
      </c>
      <c r="H127" t="s">
        <v>15</v>
      </c>
      <c r="I127">
        <v>4</v>
      </c>
      <c r="J127" t="s">
        <v>26</v>
      </c>
      <c r="K127" t="s">
        <v>24</v>
      </c>
      <c r="L127">
        <v>40</v>
      </c>
      <c r="M127" t="str" cm="1">
        <f t="array" ref="M127">_xlfn.IFS(
L127&gt;50,"Old Age",
L127&gt;=31,"Middle Age",
L127&lt;31,"Young Age"
)</f>
        <v>Middle Age</v>
      </c>
      <c r="N127" t="s">
        <v>18</v>
      </c>
      <c r="O127" t="str" cm="1">
        <f t="array" ref="O127">_xlfn.IFS(D127&gt;120000, "High Income", D127&gt;=80000, "Average Income", D127&lt;80000, "Low Income")</f>
        <v>Average Income</v>
      </c>
      <c r="P127">
        <f>IF(Table24[[#This Row],[Purchased Bike]]="Yes",1,0)</f>
        <v>0</v>
      </c>
    </row>
    <row r="128" spans="1:16" hidden="1" x14ac:dyDescent="0.25">
      <c r="A128">
        <v>12716</v>
      </c>
      <c r="B128" t="s">
        <v>35</v>
      </c>
      <c r="C128" t="s">
        <v>34</v>
      </c>
      <c r="D128" s="2">
        <v>30000</v>
      </c>
      <c r="E128">
        <v>0</v>
      </c>
      <c r="F128" t="s">
        <v>19</v>
      </c>
      <c r="G128" t="s">
        <v>20</v>
      </c>
      <c r="H128" t="s">
        <v>15</v>
      </c>
      <c r="I128">
        <v>1</v>
      </c>
      <c r="J128" t="s">
        <v>22</v>
      </c>
      <c r="K128" t="s">
        <v>17</v>
      </c>
      <c r="L128">
        <v>32</v>
      </c>
      <c r="M128" t="str" cm="1">
        <f t="array" ref="M128">_xlfn.IFS(
L128&gt;50,"Old Age",
L128&gt;=31,"Middle Age",
L128&lt;31,"Young Age"
)</f>
        <v>Middle Age</v>
      </c>
      <c r="N128" t="s">
        <v>18</v>
      </c>
      <c r="O128" t="str" cm="1">
        <f t="array" ref="O128">_xlfn.IFS(D128&gt;120000, "High Income", D128&gt;=80000, "Average Income", D128&lt;80000, "Low Income")</f>
        <v>Low Income</v>
      </c>
      <c r="P128">
        <f>IF(Table24[[#This Row],[Purchased Bike]]="Yes",1,0)</f>
        <v>0</v>
      </c>
    </row>
    <row r="129" spans="1:16" hidden="1" x14ac:dyDescent="0.25">
      <c r="A129">
        <v>12472</v>
      </c>
      <c r="B129" t="s">
        <v>34</v>
      </c>
      <c r="C129" t="s">
        <v>34</v>
      </c>
      <c r="D129" s="2">
        <v>30000</v>
      </c>
      <c r="E129">
        <v>1</v>
      </c>
      <c r="F129" t="s">
        <v>13</v>
      </c>
      <c r="G129" t="s">
        <v>20</v>
      </c>
      <c r="H129" t="s">
        <v>15</v>
      </c>
      <c r="I129">
        <v>1</v>
      </c>
      <c r="J129" t="s">
        <v>22</v>
      </c>
      <c r="K129" t="s">
        <v>17</v>
      </c>
      <c r="L129">
        <v>39</v>
      </c>
      <c r="M129" t="str" cm="1">
        <f t="array" ref="M129">_xlfn.IFS(
L129&gt;50,"Old Age",
L129&gt;=31,"Middle Age",
L129&lt;31,"Young Age"
)</f>
        <v>Middle Age</v>
      </c>
      <c r="N129" t="s">
        <v>18</v>
      </c>
      <c r="O129" t="str" cm="1">
        <f t="array" ref="O129">_xlfn.IFS(D129&gt;120000, "High Income", D129&gt;=80000, "Average Income", D129&lt;80000, "Low Income")</f>
        <v>Low Income</v>
      </c>
      <c r="P129">
        <f>IF(Table24[[#This Row],[Purchased Bike]]="Yes",1,0)</f>
        <v>0</v>
      </c>
    </row>
    <row r="130" spans="1:16" hidden="1" x14ac:dyDescent="0.25">
      <c r="A130">
        <v>20970</v>
      </c>
      <c r="B130" t="s">
        <v>35</v>
      </c>
      <c r="C130" t="s">
        <v>34</v>
      </c>
      <c r="D130" s="2">
        <v>10000</v>
      </c>
      <c r="E130">
        <v>2</v>
      </c>
      <c r="F130" t="s">
        <v>19</v>
      </c>
      <c r="G130" t="s">
        <v>25</v>
      </c>
      <c r="H130" t="s">
        <v>15</v>
      </c>
      <c r="I130">
        <v>1</v>
      </c>
      <c r="J130" t="s">
        <v>16</v>
      </c>
      <c r="K130" t="s">
        <v>17</v>
      </c>
      <c r="L130">
        <v>52</v>
      </c>
      <c r="M130" t="str" cm="1">
        <f t="array" ref="M130">_xlfn.IFS(
L130&gt;50,"Old Age",
L130&gt;=31,"Middle Age",
L130&lt;31,"Young Age"
)</f>
        <v>Old Age</v>
      </c>
      <c r="N130" t="s">
        <v>15</v>
      </c>
      <c r="O130" t="str" cm="1">
        <f t="array" ref="O130">_xlfn.IFS(D130&gt;120000, "High Income", D130&gt;=80000, "Average Income", D130&lt;80000, "Low Income")</f>
        <v>Low Income</v>
      </c>
      <c r="P130">
        <f>IF(Table24[[#This Row],[Purchased Bike]]="Yes",1,0)</f>
        <v>1</v>
      </c>
    </row>
    <row r="131" spans="1:16" x14ac:dyDescent="0.25">
      <c r="A131">
        <v>26818</v>
      </c>
      <c r="B131" t="s">
        <v>35</v>
      </c>
      <c r="C131" t="s">
        <v>34</v>
      </c>
      <c r="D131" s="2">
        <v>10000</v>
      </c>
      <c r="E131">
        <v>3</v>
      </c>
      <c r="F131" t="s">
        <v>27</v>
      </c>
      <c r="G131" t="s">
        <v>25</v>
      </c>
      <c r="H131" t="s">
        <v>15</v>
      </c>
      <c r="I131">
        <v>1</v>
      </c>
      <c r="J131" t="s">
        <v>16</v>
      </c>
      <c r="K131" t="s">
        <v>17</v>
      </c>
      <c r="L131">
        <v>39</v>
      </c>
      <c r="M131" t="str" cm="1">
        <f t="array" ref="M131">_xlfn.IFS(
L131&gt;50,"Old Age",
L131&gt;=31,"Middle Age",
L131&lt;31,"Young Age"
)</f>
        <v>Middle Age</v>
      </c>
      <c r="N131" t="s">
        <v>15</v>
      </c>
      <c r="O131" t="str" cm="1">
        <f t="array" ref="O131">_xlfn.IFS(D131&gt;120000, "High Income", D131&gt;=80000, "Average Income", D131&lt;80000, "Low Income")</f>
        <v>Low Income</v>
      </c>
      <c r="P131">
        <f>IF(Table24[[#This Row],[Purchased Bike]]="Yes",1,0)</f>
        <v>1</v>
      </c>
    </row>
    <row r="132" spans="1:16" hidden="1" x14ac:dyDescent="0.25">
      <c r="A132">
        <v>12993</v>
      </c>
      <c r="B132" t="s">
        <v>34</v>
      </c>
      <c r="C132" t="s">
        <v>34</v>
      </c>
      <c r="D132" s="2">
        <v>60000</v>
      </c>
      <c r="E132">
        <v>2</v>
      </c>
      <c r="F132" t="s">
        <v>13</v>
      </c>
      <c r="G132" t="s">
        <v>21</v>
      </c>
      <c r="H132" t="s">
        <v>15</v>
      </c>
      <c r="I132">
        <v>1</v>
      </c>
      <c r="J132" t="s">
        <v>22</v>
      </c>
      <c r="K132" t="s">
        <v>24</v>
      </c>
      <c r="L132">
        <v>37</v>
      </c>
      <c r="M132" t="str" cm="1">
        <f t="array" ref="M132">_xlfn.IFS(
L132&gt;50,"Old Age",
L132&gt;=31,"Middle Age",
L132&lt;31,"Young Age"
)</f>
        <v>Middle Age</v>
      </c>
      <c r="N132" t="s">
        <v>18</v>
      </c>
      <c r="O132" t="str" cm="1">
        <f t="array" ref="O132">_xlfn.IFS(D132&gt;120000, "High Income", D132&gt;=80000, "Average Income", D132&lt;80000, "Low Income")</f>
        <v>Low Income</v>
      </c>
      <c r="P132">
        <f>IF(Table24[[#This Row],[Purchased Bike]]="Yes",1,0)</f>
        <v>0</v>
      </c>
    </row>
    <row r="133" spans="1:16" hidden="1" x14ac:dyDescent="0.25">
      <c r="A133">
        <v>14192</v>
      </c>
      <c r="B133" t="s">
        <v>34</v>
      </c>
      <c r="C133" t="s">
        <v>34</v>
      </c>
      <c r="D133" s="2">
        <v>90000</v>
      </c>
      <c r="E133">
        <v>4</v>
      </c>
      <c r="F133" t="s">
        <v>27</v>
      </c>
      <c r="G133" t="s">
        <v>28</v>
      </c>
      <c r="H133" t="s">
        <v>15</v>
      </c>
      <c r="I133">
        <v>3</v>
      </c>
      <c r="J133" t="s">
        <v>23</v>
      </c>
      <c r="K133" t="s">
        <v>17</v>
      </c>
      <c r="L133">
        <v>56</v>
      </c>
      <c r="M133" t="str" cm="1">
        <f t="array" ref="M133">_xlfn.IFS(
L133&gt;50,"Old Age",
L133&gt;=31,"Middle Age",
L133&lt;31,"Young Age"
)</f>
        <v>Old Age</v>
      </c>
      <c r="N133" t="s">
        <v>15</v>
      </c>
      <c r="O133" t="str" cm="1">
        <f t="array" ref="O133">_xlfn.IFS(D133&gt;120000, "High Income", D133&gt;=80000, "Average Income", D133&lt;80000, "Low Income")</f>
        <v>Average Income</v>
      </c>
      <c r="P133">
        <f>IF(Table24[[#This Row],[Purchased Bike]]="Yes",1,0)</f>
        <v>1</v>
      </c>
    </row>
    <row r="134" spans="1:16" x14ac:dyDescent="0.25">
      <c r="A134">
        <v>19477</v>
      </c>
      <c r="B134" t="s">
        <v>34</v>
      </c>
      <c r="C134" t="s">
        <v>34</v>
      </c>
      <c r="D134" s="2">
        <v>40000</v>
      </c>
      <c r="E134">
        <v>0</v>
      </c>
      <c r="F134" t="s">
        <v>13</v>
      </c>
      <c r="G134" t="s">
        <v>21</v>
      </c>
      <c r="H134" t="s">
        <v>15</v>
      </c>
      <c r="I134">
        <v>0</v>
      </c>
      <c r="J134" t="s">
        <v>16</v>
      </c>
      <c r="K134" t="s">
        <v>17</v>
      </c>
      <c r="L134">
        <v>40</v>
      </c>
      <c r="M134" t="str" cm="1">
        <f t="array" ref="M134">_xlfn.IFS(
L134&gt;50,"Old Age",
L134&gt;=31,"Middle Age",
L134&lt;31,"Young Age"
)</f>
        <v>Middle Age</v>
      </c>
      <c r="N134" t="s">
        <v>15</v>
      </c>
      <c r="O134" t="str" cm="1">
        <f t="array" ref="O134">_xlfn.IFS(D134&gt;120000, "High Income", D134&gt;=80000, "Average Income", D134&lt;80000, "Low Income")</f>
        <v>Low Income</v>
      </c>
      <c r="P134">
        <f>IF(Table24[[#This Row],[Purchased Bike]]="Yes",1,0)</f>
        <v>1</v>
      </c>
    </row>
    <row r="135" spans="1:16" hidden="1" x14ac:dyDescent="0.25">
      <c r="A135">
        <v>26796</v>
      </c>
      <c r="B135" t="s">
        <v>35</v>
      </c>
      <c r="C135" t="s">
        <v>34</v>
      </c>
      <c r="D135" s="2">
        <v>40000</v>
      </c>
      <c r="E135">
        <v>2</v>
      </c>
      <c r="F135" t="s">
        <v>13</v>
      </c>
      <c r="G135" t="s">
        <v>28</v>
      </c>
      <c r="H135" t="s">
        <v>15</v>
      </c>
      <c r="I135">
        <v>2</v>
      </c>
      <c r="J135" t="s">
        <v>23</v>
      </c>
      <c r="K135" t="s">
        <v>24</v>
      </c>
      <c r="L135">
        <v>65</v>
      </c>
      <c r="M135" t="str" cm="1">
        <f t="array" ref="M135">_xlfn.IFS(
L135&gt;50,"Old Age",
L135&gt;=31,"Middle Age",
L135&lt;31,"Young Age"
)</f>
        <v>Old Age</v>
      </c>
      <c r="N135" t="s">
        <v>15</v>
      </c>
      <c r="O135" t="str" cm="1">
        <f t="array" ref="O135">_xlfn.IFS(D135&gt;120000, "High Income", D135&gt;=80000, "Average Income", D135&lt;80000, "Low Income")</f>
        <v>Low Income</v>
      </c>
      <c r="P135">
        <f>IF(Table24[[#This Row],[Purchased Bike]]="Yes",1,0)</f>
        <v>1</v>
      </c>
    </row>
    <row r="136" spans="1:16" hidden="1" x14ac:dyDescent="0.25">
      <c r="A136">
        <v>21094</v>
      </c>
      <c r="B136" t="s">
        <v>35</v>
      </c>
      <c r="C136" t="s">
        <v>33</v>
      </c>
      <c r="D136" s="2">
        <v>30000</v>
      </c>
      <c r="E136">
        <v>2</v>
      </c>
      <c r="F136" t="s">
        <v>19</v>
      </c>
      <c r="G136" t="s">
        <v>20</v>
      </c>
      <c r="H136" t="s">
        <v>15</v>
      </c>
      <c r="I136">
        <v>2</v>
      </c>
      <c r="J136" t="s">
        <v>16</v>
      </c>
      <c r="K136" t="s">
        <v>17</v>
      </c>
      <c r="L136">
        <v>42</v>
      </c>
      <c r="M136" t="str" cm="1">
        <f t="array" ref="M136">_xlfn.IFS(
L136&gt;50,"Old Age",
L136&gt;=31,"Middle Age",
L136&lt;31,"Young Age"
)</f>
        <v>Middle Age</v>
      </c>
      <c r="N136" t="s">
        <v>18</v>
      </c>
      <c r="O136" t="str" cm="1">
        <f t="array" ref="O136">_xlfn.IFS(D136&gt;120000, "High Income", D136&gt;=80000, "Average Income", D136&lt;80000, "Low Income")</f>
        <v>Low Income</v>
      </c>
      <c r="P136">
        <f>IF(Table24[[#This Row],[Purchased Bike]]="Yes",1,0)</f>
        <v>0</v>
      </c>
    </row>
    <row r="137" spans="1:16" hidden="1" x14ac:dyDescent="0.25">
      <c r="A137">
        <v>12234</v>
      </c>
      <c r="B137" t="s">
        <v>34</v>
      </c>
      <c r="C137" t="s">
        <v>34</v>
      </c>
      <c r="D137" s="2">
        <v>10000</v>
      </c>
      <c r="E137">
        <v>2</v>
      </c>
      <c r="F137" t="s">
        <v>19</v>
      </c>
      <c r="G137" t="s">
        <v>25</v>
      </c>
      <c r="H137" t="s">
        <v>15</v>
      </c>
      <c r="I137">
        <v>1</v>
      </c>
      <c r="J137" t="s">
        <v>22</v>
      </c>
      <c r="K137" t="s">
        <v>17</v>
      </c>
      <c r="L137">
        <v>52</v>
      </c>
      <c r="M137" t="str" cm="1">
        <f t="array" ref="M137">_xlfn.IFS(
L137&gt;50,"Old Age",
L137&gt;=31,"Middle Age",
L137&lt;31,"Young Age"
)</f>
        <v>Old Age</v>
      </c>
      <c r="N137" t="s">
        <v>18</v>
      </c>
      <c r="O137" t="str" cm="1">
        <f t="array" ref="O137">_xlfn.IFS(D137&gt;120000, "High Income", D137&gt;=80000, "Average Income", D137&lt;80000, "Low Income")</f>
        <v>Low Income</v>
      </c>
      <c r="P137">
        <f>IF(Table24[[#This Row],[Purchased Bike]]="Yes",1,0)</f>
        <v>0</v>
      </c>
    </row>
    <row r="138" spans="1:16" x14ac:dyDescent="0.25">
      <c r="A138">
        <v>28683</v>
      </c>
      <c r="B138" t="s">
        <v>35</v>
      </c>
      <c r="C138" t="s">
        <v>33</v>
      </c>
      <c r="D138" s="2">
        <v>10000</v>
      </c>
      <c r="E138">
        <v>1</v>
      </c>
      <c r="F138" t="s">
        <v>27</v>
      </c>
      <c r="G138" t="s">
        <v>25</v>
      </c>
      <c r="H138" t="s">
        <v>18</v>
      </c>
      <c r="I138">
        <v>1</v>
      </c>
      <c r="J138" t="s">
        <v>23</v>
      </c>
      <c r="K138" t="s">
        <v>17</v>
      </c>
      <c r="L138">
        <v>35</v>
      </c>
      <c r="M138" t="str" cm="1">
        <f t="array" ref="M138">_xlfn.IFS(
L138&gt;50,"Old Age",
L138&gt;=31,"Middle Age",
L138&lt;31,"Young Age"
)</f>
        <v>Middle Age</v>
      </c>
      <c r="N138" t="s">
        <v>15</v>
      </c>
      <c r="O138" t="str" cm="1">
        <f t="array" ref="O138">_xlfn.IFS(D138&gt;120000, "High Income", D138&gt;=80000, "Average Income", D138&lt;80000, "Low Income")</f>
        <v>Low Income</v>
      </c>
      <c r="P138">
        <f>IF(Table24[[#This Row],[Purchased Bike]]="Yes",1,0)</f>
        <v>1</v>
      </c>
    </row>
    <row r="139" spans="1:16" hidden="1" x14ac:dyDescent="0.25">
      <c r="A139">
        <v>17994</v>
      </c>
      <c r="B139" t="s">
        <v>35</v>
      </c>
      <c r="C139" t="s">
        <v>34</v>
      </c>
      <c r="D139" s="2">
        <v>20000</v>
      </c>
      <c r="E139">
        <v>2</v>
      </c>
      <c r="F139" t="s">
        <v>27</v>
      </c>
      <c r="G139" t="s">
        <v>25</v>
      </c>
      <c r="H139" t="s">
        <v>15</v>
      </c>
      <c r="I139">
        <v>2</v>
      </c>
      <c r="J139" t="s">
        <v>16</v>
      </c>
      <c r="K139" t="s">
        <v>17</v>
      </c>
      <c r="L139">
        <v>42</v>
      </c>
      <c r="M139" t="str" cm="1">
        <f t="array" ref="M139">_xlfn.IFS(
L139&gt;50,"Old Age",
L139&gt;=31,"Middle Age",
L139&lt;31,"Young Age"
)</f>
        <v>Middle Age</v>
      </c>
      <c r="N139" t="s">
        <v>18</v>
      </c>
      <c r="O139" t="str" cm="1">
        <f t="array" ref="O139">_xlfn.IFS(D139&gt;120000, "High Income", D139&gt;=80000, "Average Income", D139&lt;80000, "Low Income")</f>
        <v>Low Income</v>
      </c>
      <c r="P139">
        <f>IF(Table24[[#This Row],[Purchased Bike]]="Yes",1,0)</f>
        <v>0</v>
      </c>
    </row>
    <row r="140" spans="1:16" hidden="1" x14ac:dyDescent="0.25">
      <c r="A140">
        <v>24273</v>
      </c>
      <c r="B140" t="s">
        <v>34</v>
      </c>
      <c r="C140" t="s">
        <v>33</v>
      </c>
      <c r="D140" s="2">
        <v>20000</v>
      </c>
      <c r="E140">
        <v>2</v>
      </c>
      <c r="F140" t="s">
        <v>29</v>
      </c>
      <c r="G140" t="s">
        <v>20</v>
      </c>
      <c r="H140" t="s">
        <v>15</v>
      </c>
      <c r="I140">
        <v>2</v>
      </c>
      <c r="J140" t="s">
        <v>23</v>
      </c>
      <c r="K140" t="s">
        <v>24</v>
      </c>
      <c r="L140">
        <v>55</v>
      </c>
      <c r="M140" t="str" cm="1">
        <f t="array" ref="M140">_xlfn.IFS(
L140&gt;50,"Old Age",
L140&gt;=31,"Middle Age",
L140&lt;31,"Young Age"
)</f>
        <v>Old Age</v>
      </c>
      <c r="N140" t="s">
        <v>15</v>
      </c>
      <c r="O140" t="str" cm="1">
        <f t="array" ref="O140">_xlfn.IFS(D140&gt;120000, "High Income", D140&gt;=80000, "Average Income", D140&lt;80000, "Low Income")</f>
        <v>Low Income</v>
      </c>
      <c r="P140">
        <f>IF(Table24[[#This Row],[Purchased Bike]]="Yes",1,0)</f>
        <v>1</v>
      </c>
    </row>
    <row r="141" spans="1:16" hidden="1" x14ac:dyDescent="0.25">
      <c r="A141">
        <v>26547</v>
      </c>
      <c r="B141" t="s">
        <v>35</v>
      </c>
      <c r="C141" t="s">
        <v>33</v>
      </c>
      <c r="D141" s="2">
        <v>30000</v>
      </c>
      <c r="E141">
        <v>2</v>
      </c>
      <c r="F141" t="s">
        <v>19</v>
      </c>
      <c r="G141" t="s">
        <v>20</v>
      </c>
      <c r="H141" t="s">
        <v>18</v>
      </c>
      <c r="I141">
        <v>2</v>
      </c>
      <c r="J141" t="s">
        <v>23</v>
      </c>
      <c r="K141" t="s">
        <v>24</v>
      </c>
      <c r="L141">
        <v>60</v>
      </c>
      <c r="M141" t="str" cm="1">
        <f t="array" ref="M141">_xlfn.IFS(
L141&gt;50,"Old Age",
L141&gt;=31,"Middle Age",
L141&lt;31,"Young Age"
)</f>
        <v>Old Age</v>
      </c>
      <c r="N141" t="s">
        <v>15</v>
      </c>
      <c r="O141" t="str" cm="1">
        <f t="array" ref="O141">_xlfn.IFS(D141&gt;120000, "High Income", D141&gt;=80000, "Average Income", D141&lt;80000, "Low Income")</f>
        <v>Low Income</v>
      </c>
      <c r="P141">
        <f>IF(Table24[[#This Row],[Purchased Bike]]="Yes",1,0)</f>
        <v>1</v>
      </c>
    </row>
    <row r="142" spans="1:16" x14ac:dyDescent="0.25">
      <c r="A142">
        <v>22500</v>
      </c>
      <c r="B142" t="s">
        <v>35</v>
      </c>
      <c r="C142" t="s">
        <v>34</v>
      </c>
      <c r="D142" s="2">
        <v>40000</v>
      </c>
      <c r="E142">
        <v>0</v>
      </c>
      <c r="F142" t="s">
        <v>13</v>
      </c>
      <c r="G142" t="s">
        <v>21</v>
      </c>
      <c r="H142" t="s">
        <v>18</v>
      </c>
      <c r="I142">
        <v>0</v>
      </c>
      <c r="J142" t="s">
        <v>16</v>
      </c>
      <c r="K142" t="s">
        <v>17</v>
      </c>
      <c r="L142">
        <v>40</v>
      </c>
      <c r="M142" t="str" cm="1">
        <f t="array" ref="M142">_xlfn.IFS(
L142&gt;50,"Old Age",
L142&gt;=31,"Middle Age",
L142&lt;31,"Young Age"
)</f>
        <v>Middle Age</v>
      </c>
      <c r="N142" t="s">
        <v>15</v>
      </c>
      <c r="O142" t="str" cm="1">
        <f t="array" ref="O142">_xlfn.IFS(D142&gt;120000, "High Income", D142&gt;=80000, "Average Income", D142&lt;80000, "Low Income")</f>
        <v>Low Income</v>
      </c>
      <c r="P142">
        <f>IF(Table24[[#This Row],[Purchased Bike]]="Yes",1,0)</f>
        <v>1</v>
      </c>
    </row>
    <row r="143" spans="1:16" hidden="1" x14ac:dyDescent="0.25">
      <c r="A143">
        <v>23993</v>
      </c>
      <c r="B143" t="s">
        <v>35</v>
      </c>
      <c r="C143" t="s">
        <v>33</v>
      </c>
      <c r="D143" s="2">
        <v>10000</v>
      </c>
      <c r="E143">
        <v>0</v>
      </c>
      <c r="F143" t="s">
        <v>19</v>
      </c>
      <c r="G143" t="s">
        <v>25</v>
      </c>
      <c r="H143" t="s">
        <v>18</v>
      </c>
      <c r="I143">
        <v>1</v>
      </c>
      <c r="J143" t="s">
        <v>16</v>
      </c>
      <c r="K143" t="s">
        <v>24</v>
      </c>
      <c r="L143">
        <v>26</v>
      </c>
      <c r="M143" t="str" cm="1">
        <f t="array" ref="M143">_xlfn.IFS(
L143&gt;50,"Old Age",
L143&gt;=31,"Middle Age",
L143&lt;31,"Young Age"
)</f>
        <v>Young Age</v>
      </c>
      <c r="N143" t="s">
        <v>15</v>
      </c>
      <c r="O143" t="str" cm="1">
        <f t="array" ref="O143">_xlfn.IFS(D143&gt;120000, "High Income", D143&gt;=80000, "Average Income", D143&lt;80000, "Low Income")</f>
        <v>Low Income</v>
      </c>
      <c r="P143">
        <f>IF(Table24[[#This Row],[Purchased Bike]]="Yes",1,0)</f>
        <v>1</v>
      </c>
    </row>
    <row r="144" spans="1:16" x14ac:dyDescent="0.25">
      <c r="A144">
        <v>14832</v>
      </c>
      <c r="B144" t="s">
        <v>34</v>
      </c>
      <c r="C144" t="s">
        <v>34</v>
      </c>
      <c r="D144" s="2">
        <v>40000</v>
      </c>
      <c r="E144">
        <v>1</v>
      </c>
      <c r="F144" t="s">
        <v>13</v>
      </c>
      <c r="G144" t="s">
        <v>14</v>
      </c>
      <c r="H144" t="s">
        <v>15</v>
      </c>
      <c r="I144">
        <v>0</v>
      </c>
      <c r="J144" t="s">
        <v>16</v>
      </c>
      <c r="K144" t="s">
        <v>17</v>
      </c>
      <c r="L144">
        <v>42</v>
      </c>
      <c r="M144" t="str" cm="1">
        <f t="array" ref="M144">_xlfn.IFS(
L144&gt;50,"Old Age",
L144&gt;=31,"Middle Age",
L144&lt;31,"Young Age"
)</f>
        <v>Middle Age</v>
      </c>
      <c r="N144" t="s">
        <v>15</v>
      </c>
      <c r="O144" t="str" cm="1">
        <f t="array" ref="O144">_xlfn.IFS(D144&gt;120000, "High Income", D144&gt;=80000, "Average Income", D144&lt;80000, "Low Income")</f>
        <v>Low Income</v>
      </c>
      <c r="P144">
        <f>IF(Table24[[#This Row],[Purchased Bike]]="Yes",1,0)</f>
        <v>1</v>
      </c>
    </row>
    <row r="145" spans="1:16" hidden="1" x14ac:dyDescent="0.25">
      <c r="A145">
        <v>16614</v>
      </c>
      <c r="B145" t="s">
        <v>34</v>
      </c>
      <c r="C145" t="s">
        <v>33</v>
      </c>
      <c r="D145" s="2">
        <v>80000</v>
      </c>
      <c r="E145">
        <v>0</v>
      </c>
      <c r="F145" t="s">
        <v>13</v>
      </c>
      <c r="G145" t="s">
        <v>21</v>
      </c>
      <c r="H145" t="s">
        <v>15</v>
      </c>
      <c r="I145">
        <v>3</v>
      </c>
      <c r="J145" t="s">
        <v>30</v>
      </c>
      <c r="K145" t="s">
        <v>24</v>
      </c>
      <c r="L145">
        <v>32</v>
      </c>
      <c r="M145" t="str" cm="1">
        <f t="array" ref="M145">_xlfn.IFS(
L145&gt;50,"Old Age",
L145&gt;=31,"Middle Age",
L145&lt;31,"Young Age"
)</f>
        <v>Middle Age</v>
      </c>
      <c r="N145" t="s">
        <v>18</v>
      </c>
      <c r="O145" t="str" cm="1">
        <f t="array" ref="O145">_xlfn.IFS(D145&gt;120000, "High Income", D145&gt;=80000, "Average Income", D145&lt;80000, "Low Income")</f>
        <v>Average Income</v>
      </c>
      <c r="P145">
        <f>IF(Table24[[#This Row],[Purchased Bike]]="Yes",1,0)</f>
        <v>0</v>
      </c>
    </row>
    <row r="146" spans="1:16" x14ac:dyDescent="0.25">
      <c r="A146">
        <v>20877</v>
      </c>
      <c r="B146" t="s">
        <v>35</v>
      </c>
      <c r="C146" t="s">
        <v>34</v>
      </c>
      <c r="D146" s="2">
        <v>30000</v>
      </c>
      <c r="E146">
        <v>1</v>
      </c>
      <c r="F146" t="s">
        <v>13</v>
      </c>
      <c r="G146" t="s">
        <v>20</v>
      </c>
      <c r="H146" t="s">
        <v>15</v>
      </c>
      <c r="I146">
        <v>0</v>
      </c>
      <c r="J146" t="s">
        <v>26</v>
      </c>
      <c r="K146" t="s">
        <v>17</v>
      </c>
      <c r="L146">
        <v>37</v>
      </c>
      <c r="M146" t="str" cm="1">
        <f t="array" ref="M146">_xlfn.IFS(
L146&gt;50,"Old Age",
L146&gt;=31,"Middle Age",
L146&lt;31,"Young Age"
)</f>
        <v>Middle Age</v>
      </c>
      <c r="N146" t="s">
        <v>15</v>
      </c>
      <c r="O146" t="str" cm="1">
        <f t="array" ref="O146">_xlfn.IFS(D146&gt;120000, "High Income", D146&gt;=80000, "Average Income", D146&lt;80000, "Low Income")</f>
        <v>Low Income</v>
      </c>
      <c r="P146">
        <f>IF(Table24[[#This Row],[Purchased Bike]]="Yes",1,0)</f>
        <v>1</v>
      </c>
    </row>
    <row r="147" spans="1:16" hidden="1" x14ac:dyDescent="0.25">
      <c r="A147">
        <v>20729</v>
      </c>
      <c r="B147" t="s">
        <v>34</v>
      </c>
      <c r="C147" t="s">
        <v>33</v>
      </c>
      <c r="D147" s="2">
        <v>40000</v>
      </c>
      <c r="E147">
        <v>2</v>
      </c>
      <c r="F147" t="s">
        <v>19</v>
      </c>
      <c r="G147" t="s">
        <v>20</v>
      </c>
      <c r="H147" t="s">
        <v>18</v>
      </c>
      <c r="I147">
        <v>1</v>
      </c>
      <c r="J147" t="s">
        <v>16</v>
      </c>
      <c r="K147" t="s">
        <v>17</v>
      </c>
      <c r="L147">
        <v>34</v>
      </c>
      <c r="M147" t="str" cm="1">
        <f t="array" ref="M147">_xlfn.IFS(
L147&gt;50,"Old Age",
L147&gt;=31,"Middle Age",
L147&lt;31,"Young Age"
)</f>
        <v>Middle Age</v>
      </c>
      <c r="N147" t="s">
        <v>18</v>
      </c>
      <c r="O147" t="str" cm="1">
        <f t="array" ref="O147">_xlfn.IFS(D147&gt;120000, "High Income", D147&gt;=80000, "Average Income", D147&lt;80000, "Low Income")</f>
        <v>Low Income</v>
      </c>
      <c r="P147">
        <f>IF(Table24[[#This Row],[Purchased Bike]]="Yes",1,0)</f>
        <v>0</v>
      </c>
    </row>
    <row r="148" spans="1:16" x14ac:dyDescent="0.25">
      <c r="A148">
        <v>22464</v>
      </c>
      <c r="B148" t="s">
        <v>34</v>
      </c>
      <c r="C148" t="s">
        <v>34</v>
      </c>
      <c r="D148" s="2">
        <v>40000</v>
      </c>
      <c r="E148">
        <v>0</v>
      </c>
      <c r="F148" t="s">
        <v>31</v>
      </c>
      <c r="G148" t="s">
        <v>20</v>
      </c>
      <c r="H148" t="s">
        <v>15</v>
      </c>
      <c r="I148">
        <v>0</v>
      </c>
      <c r="J148" t="s">
        <v>16</v>
      </c>
      <c r="K148" t="s">
        <v>17</v>
      </c>
      <c r="L148">
        <v>37</v>
      </c>
      <c r="M148" t="str" cm="1">
        <f t="array" ref="M148">_xlfn.IFS(
L148&gt;50,"Old Age",
L148&gt;=31,"Middle Age",
L148&lt;31,"Young Age"
)</f>
        <v>Middle Age</v>
      </c>
      <c r="N148" t="s">
        <v>15</v>
      </c>
      <c r="O148" t="str" cm="1">
        <f t="array" ref="O148">_xlfn.IFS(D148&gt;120000, "High Income", D148&gt;=80000, "Average Income", D148&lt;80000, "Low Income")</f>
        <v>Low Income</v>
      </c>
      <c r="P148">
        <f>IF(Table24[[#This Row],[Purchased Bike]]="Yes",1,0)</f>
        <v>1</v>
      </c>
    </row>
    <row r="149" spans="1:16" x14ac:dyDescent="0.25">
      <c r="A149">
        <v>19475</v>
      </c>
      <c r="B149" t="s">
        <v>34</v>
      </c>
      <c r="C149" t="s">
        <v>33</v>
      </c>
      <c r="D149" s="2">
        <v>40000</v>
      </c>
      <c r="E149">
        <v>0</v>
      </c>
      <c r="F149" t="s">
        <v>13</v>
      </c>
      <c r="G149" t="s">
        <v>21</v>
      </c>
      <c r="H149" t="s">
        <v>18</v>
      </c>
      <c r="I149">
        <v>0</v>
      </c>
      <c r="J149" t="s">
        <v>16</v>
      </c>
      <c r="K149" t="s">
        <v>17</v>
      </c>
      <c r="L149">
        <v>40</v>
      </c>
      <c r="M149" t="str" cm="1">
        <f t="array" ref="M149">_xlfn.IFS(
L149&gt;50,"Old Age",
L149&gt;=31,"Middle Age",
L149&lt;31,"Young Age"
)</f>
        <v>Middle Age</v>
      </c>
      <c r="N149" t="s">
        <v>15</v>
      </c>
      <c r="O149" t="str" cm="1">
        <f t="array" ref="O149">_xlfn.IFS(D149&gt;120000, "High Income", D149&gt;=80000, "Average Income", D149&lt;80000, "Low Income")</f>
        <v>Low Income</v>
      </c>
      <c r="P149">
        <f>IF(Table24[[#This Row],[Purchased Bike]]="Yes",1,0)</f>
        <v>1</v>
      </c>
    </row>
    <row r="150" spans="1:16" hidden="1" x14ac:dyDescent="0.25">
      <c r="A150">
        <v>19675</v>
      </c>
      <c r="B150" t="s">
        <v>34</v>
      </c>
      <c r="C150" t="s">
        <v>34</v>
      </c>
      <c r="D150" s="2">
        <v>20000</v>
      </c>
      <c r="E150">
        <v>4</v>
      </c>
      <c r="F150" t="s">
        <v>27</v>
      </c>
      <c r="G150" t="s">
        <v>14</v>
      </c>
      <c r="H150" t="s">
        <v>15</v>
      </c>
      <c r="I150">
        <v>2</v>
      </c>
      <c r="J150" t="s">
        <v>23</v>
      </c>
      <c r="K150" t="s">
        <v>24</v>
      </c>
      <c r="L150">
        <v>60</v>
      </c>
      <c r="M150" t="str" cm="1">
        <f t="array" ref="M150">_xlfn.IFS(
L150&gt;50,"Old Age",
L150&gt;=31,"Middle Age",
L150&lt;31,"Young Age"
)</f>
        <v>Old Age</v>
      </c>
      <c r="N150" t="s">
        <v>18</v>
      </c>
      <c r="O150" t="str" cm="1">
        <f t="array" ref="O150">_xlfn.IFS(D150&gt;120000, "High Income", D150&gt;=80000, "Average Income", D150&lt;80000, "Low Income")</f>
        <v>Low Income</v>
      </c>
      <c r="P150">
        <f>IF(Table24[[#This Row],[Purchased Bike]]="Yes",1,0)</f>
        <v>0</v>
      </c>
    </row>
    <row r="151" spans="1:16" hidden="1" x14ac:dyDescent="0.25">
      <c r="A151">
        <v>12728</v>
      </c>
      <c r="B151" t="s">
        <v>35</v>
      </c>
      <c r="C151" t="s">
        <v>34</v>
      </c>
      <c r="D151" s="2">
        <v>30000</v>
      </c>
      <c r="E151">
        <v>0</v>
      </c>
      <c r="F151" t="s">
        <v>19</v>
      </c>
      <c r="G151" t="s">
        <v>20</v>
      </c>
      <c r="H151" t="s">
        <v>18</v>
      </c>
      <c r="I151">
        <v>1</v>
      </c>
      <c r="J151" t="s">
        <v>26</v>
      </c>
      <c r="K151" t="s">
        <v>17</v>
      </c>
      <c r="L151">
        <v>27</v>
      </c>
      <c r="M151" t="str" cm="1">
        <f t="array" ref="M151">_xlfn.IFS(
L151&gt;50,"Old Age",
L151&gt;=31,"Middle Age",
L151&lt;31,"Young Age"
)</f>
        <v>Young Age</v>
      </c>
      <c r="N151" t="s">
        <v>18</v>
      </c>
      <c r="O151" t="str" cm="1">
        <f t="array" ref="O151">_xlfn.IFS(D151&gt;120000, "High Income", D151&gt;=80000, "Average Income", D151&lt;80000, "Low Income")</f>
        <v>Low Income</v>
      </c>
      <c r="P151">
        <f>IF(Table24[[#This Row],[Purchased Bike]]="Yes",1,0)</f>
        <v>0</v>
      </c>
    </row>
    <row r="152" spans="1:16" x14ac:dyDescent="0.25">
      <c r="A152">
        <v>26154</v>
      </c>
      <c r="B152" t="s">
        <v>34</v>
      </c>
      <c r="C152" t="s">
        <v>34</v>
      </c>
      <c r="D152" s="2">
        <v>60000</v>
      </c>
      <c r="E152">
        <v>1</v>
      </c>
      <c r="F152" t="s">
        <v>19</v>
      </c>
      <c r="G152" t="s">
        <v>14</v>
      </c>
      <c r="H152" t="s">
        <v>15</v>
      </c>
      <c r="I152">
        <v>1</v>
      </c>
      <c r="J152" t="s">
        <v>23</v>
      </c>
      <c r="K152" t="s">
        <v>24</v>
      </c>
      <c r="L152">
        <v>43</v>
      </c>
      <c r="M152" t="str" cm="1">
        <f t="array" ref="M152">_xlfn.IFS(
L152&gt;50,"Old Age",
L152&gt;=31,"Middle Age",
L152&lt;31,"Young Age"
)</f>
        <v>Middle Age</v>
      </c>
      <c r="N152" t="s">
        <v>15</v>
      </c>
      <c r="O152" t="str" cm="1">
        <f t="array" ref="O152">_xlfn.IFS(D152&gt;120000, "High Income", D152&gt;=80000, "Average Income", D152&lt;80000, "Low Income")</f>
        <v>Low Income</v>
      </c>
      <c r="P152">
        <f>IF(Table24[[#This Row],[Purchased Bike]]="Yes",1,0)</f>
        <v>1</v>
      </c>
    </row>
    <row r="153" spans="1:16" hidden="1" x14ac:dyDescent="0.25">
      <c r="A153">
        <v>29117</v>
      </c>
      <c r="B153" t="s">
        <v>35</v>
      </c>
      <c r="C153" t="s">
        <v>34</v>
      </c>
      <c r="D153" s="2">
        <v>100000</v>
      </c>
      <c r="E153">
        <v>1</v>
      </c>
      <c r="F153" t="s">
        <v>13</v>
      </c>
      <c r="G153" t="s">
        <v>28</v>
      </c>
      <c r="H153" t="s">
        <v>18</v>
      </c>
      <c r="I153">
        <v>3</v>
      </c>
      <c r="J153" t="s">
        <v>16</v>
      </c>
      <c r="K153" t="s">
        <v>24</v>
      </c>
      <c r="L153">
        <v>48</v>
      </c>
      <c r="M153" t="str" cm="1">
        <f t="array" ref="M153">_xlfn.IFS(
L153&gt;50,"Old Age",
L153&gt;=31,"Middle Age",
L153&lt;31,"Young Age"
)</f>
        <v>Middle Age</v>
      </c>
      <c r="N153" t="s">
        <v>18</v>
      </c>
      <c r="O153" t="str" cm="1">
        <f t="array" ref="O153">_xlfn.IFS(D153&gt;120000, "High Income", D153&gt;=80000, "Average Income", D153&lt;80000, "Low Income")</f>
        <v>Average Income</v>
      </c>
      <c r="P153">
        <f>IF(Table24[[#This Row],[Purchased Bike]]="Yes",1,0)</f>
        <v>0</v>
      </c>
    </row>
    <row r="154" spans="1:16" hidden="1" x14ac:dyDescent="0.25">
      <c r="A154">
        <v>17845</v>
      </c>
      <c r="B154" t="s">
        <v>35</v>
      </c>
      <c r="C154" t="s">
        <v>33</v>
      </c>
      <c r="D154" s="2">
        <v>20000</v>
      </c>
      <c r="E154">
        <v>0</v>
      </c>
      <c r="F154" t="s">
        <v>29</v>
      </c>
      <c r="G154" t="s">
        <v>25</v>
      </c>
      <c r="H154" t="s">
        <v>18</v>
      </c>
      <c r="I154">
        <v>2</v>
      </c>
      <c r="J154" t="s">
        <v>26</v>
      </c>
      <c r="K154" t="s">
        <v>17</v>
      </c>
      <c r="L154">
        <v>32</v>
      </c>
      <c r="M154" t="str" cm="1">
        <f t="array" ref="M154">_xlfn.IFS(
L154&gt;50,"Old Age",
L154&gt;=31,"Middle Age",
L154&lt;31,"Young Age"
)</f>
        <v>Middle Age</v>
      </c>
      <c r="N154" t="s">
        <v>18</v>
      </c>
      <c r="O154" t="str" cm="1">
        <f t="array" ref="O154">_xlfn.IFS(D154&gt;120000, "High Income", D154&gt;=80000, "Average Income", D154&lt;80000, "Low Income")</f>
        <v>Low Income</v>
      </c>
      <c r="P154">
        <f>IF(Table24[[#This Row],[Purchased Bike]]="Yes",1,0)</f>
        <v>0</v>
      </c>
    </row>
    <row r="155" spans="1:16" hidden="1" x14ac:dyDescent="0.25">
      <c r="A155">
        <v>25058</v>
      </c>
      <c r="B155" t="s">
        <v>34</v>
      </c>
      <c r="C155" t="s">
        <v>34</v>
      </c>
      <c r="D155" s="2">
        <v>100000</v>
      </c>
      <c r="E155">
        <v>1</v>
      </c>
      <c r="F155" t="s">
        <v>13</v>
      </c>
      <c r="G155" t="s">
        <v>28</v>
      </c>
      <c r="H155" t="s">
        <v>15</v>
      </c>
      <c r="I155">
        <v>3</v>
      </c>
      <c r="J155" t="s">
        <v>22</v>
      </c>
      <c r="K155" t="s">
        <v>24</v>
      </c>
      <c r="L155">
        <v>47</v>
      </c>
      <c r="M155" t="str" cm="1">
        <f t="array" ref="M155">_xlfn.IFS(
L155&gt;50,"Old Age",
L155&gt;=31,"Middle Age",
L155&lt;31,"Young Age"
)</f>
        <v>Middle Age</v>
      </c>
      <c r="N155" t="s">
        <v>18</v>
      </c>
      <c r="O155" t="str" cm="1">
        <f t="array" ref="O155">_xlfn.IFS(D155&gt;120000, "High Income", D155&gt;=80000, "Average Income", D155&lt;80000, "Low Income")</f>
        <v>Average Income</v>
      </c>
      <c r="P155">
        <f>IF(Table24[[#This Row],[Purchased Bike]]="Yes",1,0)</f>
        <v>0</v>
      </c>
    </row>
    <row r="156" spans="1:16" hidden="1" x14ac:dyDescent="0.25">
      <c r="A156">
        <v>23426</v>
      </c>
      <c r="B156" t="s">
        <v>35</v>
      </c>
      <c r="C156" t="s">
        <v>34</v>
      </c>
      <c r="D156" s="2">
        <v>80000</v>
      </c>
      <c r="E156">
        <v>5</v>
      </c>
      <c r="F156" t="s">
        <v>31</v>
      </c>
      <c r="G156" t="s">
        <v>28</v>
      </c>
      <c r="H156" t="s">
        <v>15</v>
      </c>
      <c r="I156">
        <v>3</v>
      </c>
      <c r="J156" t="s">
        <v>16</v>
      </c>
      <c r="K156" t="s">
        <v>24</v>
      </c>
      <c r="L156">
        <v>40</v>
      </c>
      <c r="M156" t="str" cm="1">
        <f t="array" ref="M156">_xlfn.IFS(
L156&gt;50,"Old Age",
L156&gt;=31,"Middle Age",
L156&lt;31,"Young Age"
)</f>
        <v>Middle Age</v>
      </c>
      <c r="N156" t="s">
        <v>18</v>
      </c>
      <c r="O156" t="str" cm="1">
        <f t="array" ref="O156">_xlfn.IFS(D156&gt;120000, "High Income", D156&gt;=80000, "Average Income", D156&lt;80000, "Low Income")</f>
        <v>Average Income</v>
      </c>
      <c r="P156">
        <f>IF(Table24[[#This Row],[Purchased Bike]]="Yes",1,0)</f>
        <v>0</v>
      </c>
    </row>
    <row r="157" spans="1:16" x14ac:dyDescent="0.25">
      <c r="A157">
        <v>14798</v>
      </c>
      <c r="B157" t="s">
        <v>35</v>
      </c>
      <c r="C157" t="s">
        <v>33</v>
      </c>
      <c r="D157" s="2">
        <v>10000</v>
      </c>
      <c r="E157">
        <v>4</v>
      </c>
      <c r="F157" t="s">
        <v>29</v>
      </c>
      <c r="G157" t="s">
        <v>25</v>
      </c>
      <c r="H157" t="s">
        <v>15</v>
      </c>
      <c r="I157">
        <v>2</v>
      </c>
      <c r="J157" t="s">
        <v>16</v>
      </c>
      <c r="K157" t="s">
        <v>17</v>
      </c>
      <c r="L157">
        <v>41</v>
      </c>
      <c r="M157" t="str" cm="1">
        <f t="array" ref="M157">_xlfn.IFS(
L157&gt;50,"Old Age",
L157&gt;=31,"Middle Age",
L157&lt;31,"Young Age"
)</f>
        <v>Middle Age</v>
      </c>
      <c r="N157" t="s">
        <v>15</v>
      </c>
      <c r="O157" t="str" cm="1">
        <f t="array" ref="O157">_xlfn.IFS(D157&gt;120000, "High Income", D157&gt;=80000, "Average Income", D157&lt;80000, "Low Income")</f>
        <v>Low Income</v>
      </c>
      <c r="P157">
        <f>IF(Table24[[#This Row],[Purchased Bike]]="Yes",1,0)</f>
        <v>1</v>
      </c>
    </row>
    <row r="158" spans="1:16" hidden="1" x14ac:dyDescent="0.25">
      <c r="A158">
        <v>12664</v>
      </c>
      <c r="B158" t="s">
        <v>34</v>
      </c>
      <c r="C158" t="s">
        <v>33</v>
      </c>
      <c r="D158" s="2">
        <v>130000</v>
      </c>
      <c r="E158">
        <v>5</v>
      </c>
      <c r="F158" t="s">
        <v>19</v>
      </c>
      <c r="G158" t="s">
        <v>21</v>
      </c>
      <c r="H158" t="s">
        <v>15</v>
      </c>
      <c r="I158">
        <v>4</v>
      </c>
      <c r="J158" t="s">
        <v>16</v>
      </c>
      <c r="K158" t="s">
        <v>17</v>
      </c>
      <c r="L158">
        <v>59</v>
      </c>
      <c r="M158" t="str" cm="1">
        <f t="array" ref="M158">_xlfn.IFS(
L158&gt;50,"Old Age",
L158&gt;=31,"Middle Age",
L158&lt;31,"Young Age"
)</f>
        <v>Old Age</v>
      </c>
      <c r="N158" t="s">
        <v>18</v>
      </c>
      <c r="O158" t="str" cm="1">
        <f t="array" ref="O158">_xlfn.IFS(D158&gt;120000, "High Income", D158&gt;=80000, "Average Income", D158&lt;80000, "Low Income")</f>
        <v>High Income</v>
      </c>
      <c r="P158">
        <f>IF(Table24[[#This Row],[Purchased Bike]]="Yes",1,0)</f>
        <v>0</v>
      </c>
    </row>
    <row r="159" spans="1:16" hidden="1" x14ac:dyDescent="0.25">
      <c r="A159">
        <v>23979</v>
      </c>
      <c r="B159" t="s">
        <v>35</v>
      </c>
      <c r="C159" t="s">
        <v>34</v>
      </c>
      <c r="D159" s="2">
        <v>10000</v>
      </c>
      <c r="E159">
        <v>2</v>
      </c>
      <c r="F159" t="s">
        <v>19</v>
      </c>
      <c r="G159" t="s">
        <v>25</v>
      </c>
      <c r="H159" t="s">
        <v>18</v>
      </c>
      <c r="I159">
        <v>0</v>
      </c>
      <c r="J159" t="s">
        <v>16</v>
      </c>
      <c r="K159" t="s">
        <v>17</v>
      </c>
      <c r="L159">
        <v>50</v>
      </c>
      <c r="M159" t="str" cm="1">
        <f t="array" ref="M159">_xlfn.IFS(
L159&gt;50,"Old Age",
L159&gt;=31,"Middle Age",
L159&lt;31,"Young Age"
)</f>
        <v>Middle Age</v>
      </c>
      <c r="N159" t="s">
        <v>18</v>
      </c>
      <c r="O159" t="str" cm="1">
        <f t="array" ref="O159">_xlfn.IFS(D159&gt;120000, "High Income", D159&gt;=80000, "Average Income", D159&lt;80000, "Low Income")</f>
        <v>Low Income</v>
      </c>
      <c r="P159">
        <f>IF(Table24[[#This Row],[Purchased Bike]]="Yes",1,0)</f>
        <v>0</v>
      </c>
    </row>
    <row r="160" spans="1:16" hidden="1" x14ac:dyDescent="0.25">
      <c r="A160">
        <v>25605</v>
      </c>
      <c r="B160" t="s">
        <v>35</v>
      </c>
      <c r="C160" t="s">
        <v>33</v>
      </c>
      <c r="D160" s="2">
        <v>20000</v>
      </c>
      <c r="E160">
        <v>2</v>
      </c>
      <c r="F160" t="s">
        <v>19</v>
      </c>
      <c r="G160" t="s">
        <v>25</v>
      </c>
      <c r="H160" t="s">
        <v>18</v>
      </c>
      <c r="I160">
        <v>1</v>
      </c>
      <c r="J160" t="s">
        <v>16</v>
      </c>
      <c r="K160" t="s">
        <v>17</v>
      </c>
      <c r="L160">
        <v>54</v>
      </c>
      <c r="M160" t="str" cm="1">
        <f t="array" ref="M160">_xlfn.IFS(
L160&gt;50,"Old Age",
L160&gt;=31,"Middle Age",
L160&lt;31,"Young Age"
)</f>
        <v>Old Age</v>
      </c>
      <c r="N160" t="s">
        <v>15</v>
      </c>
      <c r="O160" t="str" cm="1">
        <f t="array" ref="O160">_xlfn.IFS(D160&gt;120000, "High Income", D160&gt;=80000, "Average Income", D160&lt;80000, "Low Income")</f>
        <v>Low Income</v>
      </c>
      <c r="P160">
        <f>IF(Table24[[#This Row],[Purchased Bike]]="Yes",1,0)</f>
        <v>1</v>
      </c>
    </row>
    <row r="161" spans="1:16" hidden="1" x14ac:dyDescent="0.25">
      <c r="A161">
        <v>20797</v>
      </c>
      <c r="B161" t="s">
        <v>34</v>
      </c>
      <c r="C161" t="s">
        <v>33</v>
      </c>
      <c r="D161" s="2">
        <v>10000</v>
      </c>
      <c r="E161">
        <v>1</v>
      </c>
      <c r="F161" t="s">
        <v>13</v>
      </c>
      <c r="G161" t="s">
        <v>25</v>
      </c>
      <c r="H161" t="s">
        <v>15</v>
      </c>
      <c r="I161">
        <v>0</v>
      </c>
      <c r="J161" t="s">
        <v>16</v>
      </c>
      <c r="K161" t="s">
        <v>17</v>
      </c>
      <c r="L161">
        <v>48</v>
      </c>
      <c r="M161" t="str" cm="1">
        <f t="array" ref="M161">_xlfn.IFS(
L161&gt;50,"Old Age",
L161&gt;=31,"Middle Age",
L161&lt;31,"Young Age"
)</f>
        <v>Middle Age</v>
      </c>
      <c r="N161" t="s">
        <v>18</v>
      </c>
      <c r="O161" t="str" cm="1">
        <f t="array" ref="O161">_xlfn.IFS(D161&gt;120000, "High Income", D161&gt;=80000, "Average Income", D161&lt;80000, "Low Income")</f>
        <v>Low Income</v>
      </c>
      <c r="P161">
        <f>IF(Table24[[#This Row],[Purchased Bike]]="Yes",1,0)</f>
        <v>0</v>
      </c>
    </row>
    <row r="162" spans="1:16" x14ac:dyDescent="0.25">
      <c r="A162">
        <v>21980</v>
      </c>
      <c r="B162" t="s">
        <v>35</v>
      </c>
      <c r="C162" t="s">
        <v>33</v>
      </c>
      <c r="D162" s="2">
        <v>60000</v>
      </c>
      <c r="E162">
        <v>1</v>
      </c>
      <c r="F162" t="s">
        <v>13</v>
      </c>
      <c r="G162" t="s">
        <v>21</v>
      </c>
      <c r="H162" t="s">
        <v>15</v>
      </c>
      <c r="I162">
        <v>1</v>
      </c>
      <c r="J162" t="s">
        <v>23</v>
      </c>
      <c r="K162" t="s">
        <v>24</v>
      </c>
      <c r="L162">
        <v>44</v>
      </c>
      <c r="M162" t="str" cm="1">
        <f t="array" ref="M162">_xlfn.IFS(
L162&gt;50,"Old Age",
L162&gt;=31,"Middle Age",
L162&lt;31,"Young Age"
)</f>
        <v>Middle Age</v>
      </c>
      <c r="N162" t="s">
        <v>15</v>
      </c>
      <c r="O162" t="str" cm="1">
        <f t="array" ref="O162">_xlfn.IFS(D162&gt;120000, "High Income", D162&gt;=80000, "Average Income", D162&lt;80000, "Low Income")</f>
        <v>Low Income</v>
      </c>
      <c r="P162">
        <f>IF(Table24[[#This Row],[Purchased Bike]]="Yes",1,0)</f>
        <v>1</v>
      </c>
    </row>
    <row r="163" spans="1:16" x14ac:dyDescent="0.25">
      <c r="A163">
        <v>25460</v>
      </c>
      <c r="B163" t="s">
        <v>34</v>
      </c>
      <c r="C163" t="s">
        <v>33</v>
      </c>
      <c r="D163" s="2">
        <v>20000</v>
      </c>
      <c r="E163">
        <v>2</v>
      </c>
      <c r="F163" t="s">
        <v>27</v>
      </c>
      <c r="G163" t="s">
        <v>25</v>
      </c>
      <c r="H163" t="s">
        <v>15</v>
      </c>
      <c r="I163">
        <v>0</v>
      </c>
      <c r="J163" t="s">
        <v>16</v>
      </c>
      <c r="K163" t="s">
        <v>17</v>
      </c>
      <c r="L163">
        <v>40</v>
      </c>
      <c r="M163" t="str" cm="1">
        <f t="array" ref="M163">_xlfn.IFS(
L163&gt;50,"Old Age",
L163&gt;=31,"Middle Age",
L163&lt;31,"Young Age"
)</f>
        <v>Middle Age</v>
      </c>
      <c r="N163" t="s">
        <v>15</v>
      </c>
      <c r="O163" t="str" cm="1">
        <f t="array" ref="O163">_xlfn.IFS(D163&gt;120000, "High Income", D163&gt;=80000, "Average Income", D163&lt;80000, "Low Income")</f>
        <v>Low Income</v>
      </c>
      <c r="P163">
        <f>IF(Table24[[#This Row],[Purchased Bike]]="Yes",1,0)</f>
        <v>1</v>
      </c>
    </row>
    <row r="164" spans="1:16" x14ac:dyDescent="0.25">
      <c r="A164">
        <v>29181</v>
      </c>
      <c r="B164" t="s">
        <v>35</v>
      </c>
      <c r="C164" t="s">
        <v>33</v>
      </c>
      <c r="D164" s="2">
        <v>60000</v>
      </c>
      <c r="E164">
        <v>2</v>
      </c>
      <c r="F164" t="s">
        <v>13</v>
      </c>
      <c r="G164" t="s">
        <v>21</v>
      </c>
      <c r="H164" t="s">
        <v>18</v>
      </c>
      <c r="I164">
        <v>1</v>
      </c>
      <c r="J164" t="s">
        <v>16</v>
      </c>
      <c r="K164" t="s">
        <v>24</v>
      </c>
      <c r="L164">
        <v>38</v>
      </c>
      <c r="M164" t="str" cm="1">
        <f t="array" ref="M164">_xlfn.IFS(
L164&gt;50,"Old Age",
L164&gt;=31,"Middle Age",
L164&lt;31,"Young Age"
)</f>
        <v>Middle Age</v>
      </c>
      <c r="N164" t="s">
        <v>15</v>
      </c>
      <c r="O164" t="str" cm="1">
        <f t="array" ref="O164">_xlfn.IFS(D164&gt;120000, "High Income", D164&gt;=80000, "Average Income", D164&lt;80000, "Low Income")</f>
        <v>Low Income</v>
      </c>
      <c r="P164">
        <f>IF(Table24[[#This Row],[Purchased Bike]]="Yes",1,0)</f>
        <v>1</v>
      </c>
    </row>
    <row r="165" spans="1:16" hidden="1" x14ac:dyDescent="0.25">
      <c r="A165">
        <v>24279</v>
      </c>
      <c r="B165" t="s">
        <v>35</v>
      </c>
      <c r="C165" t="s">
        <v>34</v>
      </c>
      <c r="D165" s="2">
        <v>40000</v>
      </c>
      <c r="E165">
        <v>2</v>
      </c>
      <c r="F165" t="s">
        <v>19</v>
      </c>
      <c r="G165" t="s">
        <v>14</v>
      </c>
      <c r="H165" t="s">
        <v>18</v>
      </c>
      <c r="I165">
        <v>2</v>
      </c>
      <c r="J165" t="s">
        <v>26</v>
      </c>
      <c r="K165" t="s">
        <v>24</v>
      </c>
      <c r="L165">
        <v>52</v>
      </c>
      <c r="M165" t="str" cm="1">
        <f t="array" ref="M165">_xlfn.IFS(
L165&gt;50,"Old Age",
L165&gt;=31,"Middle Age",
L165&lt;31,"Young Age"
)</f>
        <v>Old Age</v>
      </c>
      <c r="N165" t="s">
        <v>18</v>
      </c>
      <c r="O165" t="str" cm="1">
        <f t="array" ref="O165">_xlfn.IFS(D165&gt;120000, "High Income", D165&gt;=80000, "Average Income", D165&lt;80000, "Low Income")</f>
        <v>Low Income</v>
      </c>
      <c r="P165">
        <f>IF(Table24[[#This Row],[Purchased Bike]]="Yes",1,0)</f>
        <v>0</v>
      </c>
    </row>
    <row r="166" spans="1:16" hidden="1" x14ac:dyDescent="0.25">
      <c r="A166">
        <v>22402</v>
      </c>
      <c r="B166" t="s">
        <v>34</v>
      </c>
      <c r="C166" t="s">
        <v>34</v>
      </c>
      <c r="D166" s="2">
        <v>10000</v>
      </c>
      <c r="E166">
        <v>0</v>
      </c>
      <c r="F166" t="s">
        <v>19</v>
      </c>
      <c r="G166" t="s">
        <v>25</v>
      </c>
      <c r="H166" t="s">
        <v>15</v>
      </c>
      <c r="I166">
        <v>1</v>
      </c>
      <c r="J166" t="s">
        <v>22</v>
      </c>
      <c r="K166" t="s">
        <v>24</v>
      </c>
      <c r="L166">
        <v>25</v>
      </c>
      <c r="M166" t="str" cm="1">
        <f t="array" ref="M166">_xlfn.IFS(
L166&gt;50,"Old Age",
L166&gt;=31,"Middle Age",
L166&lt;31,"Young Age"
)</f>
        <v>Young Age</v>
      </c>
      <c r="N166" t="s">
        <v>15</v>
      </c>
      <c r="O166" t="str" cm="1">
        <f t="array" ref="O166">_xlfn.IFS(D166&gt;120000, "High Income", D166&gt;=80000, "Average Income", D166&lt;80000, "Low Income")</f>
        <v>Low Income</v>
      </c>
      <c r="P166">
        <f>IF(Table24[[#This Row],[Purchased Bike]]="Yes",1,0)</f>
        <v>1</v>
      </c>
    </row>
    <row r="167" spans="1:16" hidden="1" x14ac:dyDescent="0.25">
      <c r="A167">
        <v>15465</v>
      </c>
      <c r="B167" t="s">
        <v>34</v>
      </c>
      <c r="C167" t="s">
        <v>33</v>
      </c>
      <c r="D167" s="2">
        <v>10000</v>
      </c>
      <c r="E167">
        <v>0</v>
      </c>
      <c r="F167" t="s">
        <v>19</v>
      </c>
      <c r="G167" t="s">
        <v>25</v>
      </c>
      <c r="H167" t="s">
        <v>18</v>
      </c>
      <c r="I167">
        <v>1</v>
      </c>
      <c r="J167" t="s">
        <v>16</v>
      </c>
      <c r="K167" t="s">
        <v>24</v>
      </c>
      <c r="L167">
        <v>25</v>
      </c>
      <c r="M167" t="str" cm="1">
        <f t="array" ref="M167">_xlfn.IFS(
L167&gt;50,"Old Age",
L167&gt;=31,"Middle Age",
L167&lt;31,"Young Age"
)</f>
        <v>Young Age</v>
      </c>
      <c r="N167" t="s">
        <v>18</v>
      </c>
      <c r="O167" t="str" cm="1">
        <f t="array" ref="O167">_xlfn.IFS(D167&gt;120000, "High Income", D167&gt;=80000, "Average Income", D167&lt;80000, "Low Income")</f>
        <v>Low Income</v>
      </c>
      <c r="P167">
        <f>IF(Table24[[#This Row],[Purchased Bike]]="Yes",1,0)</f>
        <v>0</v>
      </c>
    </row>
    <row r="168" spans="1:16" x14ac:dyDescent="0.25">
      <c r="A168">
        <v>26757</v>
      </c>
      <c r="B168" t="s">
        <v>35</v>
      </c>
      <c r="C168" t="s">
        <v>34</v>
      </c>
      <c r="D168" s="2">
        <v>90000</v>
      </c>
      <c r="E168">
        <v>1</v>
      </c>
      <c r="F168" t="s">
        <v>13</v>
      </c>
      <c r="G168" t="s">
        <v>21</v>
      </c>
      <c r="H168" t="s">
        <v>15</v>
      </c>
      <c r="I168">
        <v>1</v>
      </c>
      <c r="J168" t="s">
        <v>22</v>
      </c>
      <c r="K168" t="s">
        <v>24</v>
      </c>
      <c r="L168">
        <v>47</v>
      </c>
      <c r="M168" t="str" cm="1">
        <f t="array" ref="M168">_xlfn.IFS(
L168&gt;50,"Old Age",
L168&gt;=31,"Middle Age",
L168&lt;31,"Young Age"
)</f>
        <v>Middle Age</v>
      </c>
      <c r="N168" t="s">
        <v>15</v>
      </c>
      <c r="O168" t="str" cm="1">
        <f t="array" ref="O168">_xlfn.IFS(D168&gt;120000, "High Income", D168&gt;=80000, "Average Income", D168&lt;80000, "Low Income")</f>
        <v>Average Income</v>
      </c>
      <c r="P168">
        <f>IF(Table24[[#This Row],[Purchased Bike]]="Yes",1,0)</f>
        <v>1</v>
      </c>
    </row>
    <row r="169" spans="1:16" hidden="1" x14ac:dyDescent="0.25">
      <c r="A169">
        <v>14233</v>
      </c>
      <c r="B169" t="s">
        <v>35</v>
      </c>
      <c r="C169" t="s">
        <v>34</v>
      </c>
      <c r="D169" s="2">
        <v>100000</v>
      </c>
      <c r="E169">
        <v>0</v>
      </c>
      <c r="F169" t="s">
        <v>27</v>
      </c>
      <c r="G169" t="s">
        <v>28</v>
      </c>
      <c r="H169" t="s">
        <v>15</v>
      </c>
      <c r="I169">
        <v>3</v>
      </c>
      <c r="J169" t="s">
        <v>30</v>
      </c>
      <c r="K169" t="s">
        <v>24</v>
      </c>
      <c r="L169">
        <v>35</v>
      </c>
      <c r="M169" t="str" cm="1">
        <f t="array" ref="M169">_xlfn.IFS(
L169&gt;50,"Old Age",
L169&gt;=31,"Middle Age",
L169&lt;31,"Young Age"
)</f>
        <v>Middle Age</v>
      </c>
      <c r="N169" t="s">
        <v>18</v>
      </c>
      <c r="O169" t="str" cm="1">
        <f t="array" ref="O169">_xlfn.IFS(D169&gt;120000, "High Income", D169&gt;=80000, "Average Income", D169&lt;80000, "Low Income")</f>
        <v>Average Income</v>
      </c>
      <c r="P169">
        <f>IF(Table24[[#This Row],[Purchased Bike]]="Yes",1,0)</f>
        <v>0</v>
      </c>
    </row>
    <row r="170" spans="1:16" x14ac:dyDescent="0.25">
      <c r="A170">
        <v>14058</v>
      </c>
      <c r="B170" t="s">
        <v>35</v>
      </c>
      <c r="C170" t="s">
        <v>34</v>
      </c>
      <c r="D170" s="2">
        <v>70000</v>
      </c>
      <c r="E170">
        <v>0</v>
      </c>
      <c r="F170" t="s">
        <v>13</v>
      </c>
      <c r="G170" t="s">
        <v>21</v>
      </c>
      <c r="H170" t="s">
        <v>18</v>
      </c>
      <c r="I170">
        <v>1</v>
      </c>
      <c r="J170" t="s">
        <v>23</v>
      </c>
      <c r="K170" t="s">
        <v>24</v>
      </c>
      <c r="L170">
        <v>41</v>
      </c>
      <c r="M170" t="str" cm="1">
        <f t="array" ref="M170">_xlfn.IFS(
L170&gt;50,"Old Age",
L170&gt;=31,"Middle Age",
L170&lt;31,"Young Age"
)</f>
        <v>Middle Age</v>
      </c>
      <c r="N170" t="s">
        <v>15</v>
      </c>
      <c r="O170" t="str" cm="1">
        <f t="array" ref="O170">_xlfn.IFS(D170&gt;120000, "High Income", D170&gt;=80000, "Average Income", D170&lt;80000, "Low Income")</f>
        <v>Low Income</v>
      </c>
      <c r="P170">
        <f>IF(Table24[[#This Row],[Purchased Bike]]="Yes",1,0)</f>
        <v>1</v>
      </c>
    </row>
    <row r="171" spans="1:16" hidden="1" x14ac:dyDescent="0.25">
      <c r="A171">
        <v>12273</v>
      </c>
      <c r="B171" t="s">
        <v>34</v>
      </c>
      <c r="C171" t="s">
        <v>34</v>
      </c>
      <c r="D171" s="2">
        <v>30000</v>
      </c>
      <c r="E171">
        <v>1</v>
      </c>
      <c r="F171" t="s">
        <v>13</v>
      </c>
      <c r="G171" t="s">
        <v>20</v>
      </c>
      <c r="H171" t="s">
        <v>15</v>
      </c>
      <c r="I171">
        <v>0</v>
      </c>
      <c r="J171" t="s">
        <v>16</v>
      </c>
      <c r="K171" t="s">
        <v>17</v>
      </c>
      <c r="L171">
        <v>47</v>
      </c>
      <c r="M171" t="str" cm="1">
        <f t="array" ref="M171">_xlfn.IFS(
L171&gt;50,"Old Age",
L171&gt;=31,"Middle Age",
L171&lt;31,"Young Age"
)</f>
        <v>Middle Age</v>
      </c>
      <c r="N171" t="s">
        <v>18</v>
      </c>
      <c r="O171" t="str" cm="1">
        <f t="array" ref="O171">_xlfn.IFS(D171&gt;120000, "High Income", D171&gt;=80000, "Average Income", D171&lt;80000, "Low Income")</f>
        <v>Low Income</v>
      </c>
      <c r="P171">
        <f>IF(Table24[[#This Row],[Purchased Bike]]="Yes",1,0)</f>
        <v>0</v>
      </c>
    </row>
    <row r="172" spans="1:16" hidden="1" x14ac:dyDescent="0.25">
      <c r="A172">
        <v>17203</v>
      </c>
      <c r="B172" t="s">
        <v>34</v>
      </c>
      <c r="C172" t="s">
        <v>33</v>
      </c>
      <c r="D172" s="2">
        <v>130000</v>
      </c>
      <c r="E172">
        <v>4</v>
      </c>
      <c r="F172" t="s">
        <v>19</v>
      </c>
      <c r="G172" t="s">
        <v>21</v>
      </c>
      <c r="H172" t="s">
        <v>15</v>
      </c>
      <c r="I172">
        <v>4</v>
      </c>
      <c r="J172" t="s">
        <v>23</v>
      </c>
      <c r="K172" t="s">
        <v>17</v>
      </c>
      <c r="L172">
        <v>61</v>
      </c>
      <c r="M172" t="str" cm="1">
        <f t="array" ref="M172">_xlfn.IFS(
L172&gt;50,"Old Age",
L172&gt;=31,"Middle Age",
L172&lt;31,"Young Age"
)</f>
        <v>Old Age</v>
      </c>
      <c r="N172" t="s">
        <v>15</v>
      </c>
      <c r="O172" t="str" cm="1">
        <f t="array" ref="O172">_xlfn.IFS(D172&gt;120000, "High Income", D172&gt;=80000, "Average Income", D172&lt;80000, "Low Income")</f>
        <v>High Income</v>
      </c>
      <c r="P172">
        <f>IF(Table24[[#This Row],[Purchased Bike]]="Yes",1,0)</f>
        <v>1</v>
      </c>
    </row>
    <row r="173" spans="1:16" hidden="1" x14ac:dyDescent="0.25">
      <c r="A173">
        <v>18144</v>
      </c>
      <c r="B173" t="s">
        <v>34</v>
      </c>
      <c r="C173" t="s">
        <v>33</v>
      </c>
      <c r="D173" s="2">
        <v>80000</v>
      </c>
      <c r="E173">
        <v>5</v>
      </c>
      <c r="F173" t="s">
        <v>13</v>
      </c>
      <c r="G173" t="s">
        <v>28</v>
      </c>
      <c r="H173" t="s">
        <v>15</v>
      </c>
      <c r="I173">
        <v>2</v>
      </c>
      <c r="J173" t="s">
        <v>22</v>
      </c>
      <c r="K173" t="s">
        <v>17</v>
      </c>
      <c r="L173">
        <v>61</v>
      </c>
      <c r="M173" t="str" cm="1">
        <f t="array" ref="M173">_xlfn.IFS(
L173&gt;50,"Old Age",
L173&gt;=31,"Middle Age",
L173&lt;31,"Young Age"
)</f>
        <v>Old Age</v>
      </c>
      <c r="N173" t="s">
        <v>18</v>
      </c>
      <c r="O173" t="str" cm="1">
        <f t="array" ref="O173">_xlfn.IFS(D173&gt;120000, "High Income", D173&gt;=80000, "Average Income", D173&lt;80000, "Low Income")</f>
        <v>Average Income</v>
      </c>
      <c r="P173">
        <f>IF(Table24[[#This Row],[Purchased Bike]]="Yes",1,0)</f>
        <v>0</v>
      </c>
    </row>
    <row r="174" spans="1:16" hidden="1" x14ac:dyDescent="0.25">
      <c r="A174">
        <v>23963</v>
      </c>
      <c r="B174" t="s">
        <v>34</v>
      </c>
      <c r="C174" t="s">
        <v>34</v>
      </c>
      <c r="D174" s="2">
        <v>10000</v>
      </c>
      <c r="E174">
        <v>0</v>
      </c>
      <c r="F174" t="s">
        <v>29</v>
      </c>
      <c r="G174" t="s">
        <v>25</v>
      </c>
      <c r="H174" t="s">
        <v>18</v>
      </c>
      <c r="I174">
        <v>2</v>
      </c>
      <c r="J174" t="s">
        <v>16</v>
      </c>
      <c r="K174" t="s">
        <v>17</v>
      </c>
      <c r="L174">
        <v>33</v>
      </c>
      <c r="M174" t="str" cm="1">
        <f t="array" ref="M174">_xlfn.IFS(
L174&gt;50,"Old Age",
L174&gt;=31,"Middle Age",
L174&lt;31,"Young Age"
)</f>
        <v>Middle Age</v>
      </c>
      <c r="N174" t="s">
        <v>18</v>
      </c>
      <c r="O174" t="str" cm="1">
        <f t="array" ref="O174">_xlfn.IFS(D174&gt;120000, "High Income", D174&gt;=80000, "Average Income", D174&lt;80000, "Low Income")</f>
        <v>Low Income</v>
      </c>
      <c r="P174">
        <f>IF(Table24[[#This Row],[Purchased Bike]]="Yes",1,0)</f>
        <v>0</v>
      </c>
    </row>
    <row r="175" spans="1:16" hidden="1" x14ac:dyDescent="0.25">
      <c r="A175">
        <v>17907</v>
      </c>
      <c r="B175" t="s">
        <v>34</v>
      </c>
      <c r="C175" t="s">
        <v>33</v>
      </c>
      <c r="D175" s="2">
        <v>10000</v>
      </c>
      <c r="E175">
        <v>0</v>
      </c>
      <c r="F175" t="s">
        <v>19</v>
      </c>
      <c r="G175" t="s">
        <v>25</v>
      </c>
      <c r="H175" t="s">
        <v>15</v>
      </c>
      <c r="I175">
        <v>1</v>
      </c>
      <c r="J175" t="s">
        <v>22</v>
      </c>
      <c r="K175" t="s">
        <v>24</v>
      </c>
      <c r="L175">
        <v>27</v>
      </c>
      <c r="M175" t="str" cm="1">
        <f t="array" ref="M175">_xlfn.IFS(
L175&gt;50,"Old Age",
L175&gt;=31,"Middle Age",
L175&lt;31,"Young Age"
)</f>
        <v>Young Age</v>
      </c>
      <c r="N175" t="s">
        <v>18</v>
      </c>
      <c r="O175" t="str" cm="1">
        <f t="array" ref="O175">_xlfn.IFS(D175&gt;120000, "High Income", D175&gt;=80000, "Average Income", D175&lt;80000, "Low Income")</f>
        <v>Low Income</v>
      </c>
      <c r="P175">
        <f>IF(Table24[[#This Row],[Purchased Bike]]="Yes",1,0)</f>
        <v>0</v>
      </c>
    </row>
    <row r="176" spans="1:16" x14ac:dyDescent="0.25">
      <c r="A176">
        <v>19442</v>
      </c>
      <c r="B176" t="s">
        <v>35</v>
      </c>
      <c r="C176" t="s">
        <v>34</v>
      </c>
      <c r="D176" s="2">
        <v>50000</v>
      </c>
      <c r="E176">
        <v>0</v>
      </c>
      <c r="F176" t="s">
        <v>31</v>
      </c>
      <c r="G176" t="s">
        <v>14</v>
      </c>
      <c r="H176" t="s">
        <v>15</v>
      </c>
      <c r="I176">
        <v>0</v>
      </c>
      <c r="J176" t="s">
        <v>16</v>
      </c>
      <c r="K176" t="s">
        <v>17</v>
      </c>
      <c r="L176">
        <v>37</v>
      </c>
      <c r="M176" t="str" cm="1">
        <f t="array" ref="M176">_xlfn.IFS(
L176&gt;50,"Old Age",
L176&gt;=31,"Middle Age",
L176&lt;31,"Young Age"
)</f>
        <v>Middle Age</v>
      </c>
      <c r="N176" t="s">
        <v>15</v>
      </c>
      <c r="O176" t="str" cm="1">
        <f t="array" ref="O176">_xlfn.IFS(D176&gt;120000, "High Income", D176&gt;=80000, "Average Income", D176&lt;80000, "Low Income")</f>
        <v>Low Income</v>
      </c>
      <c r="P176">
        <f>IF(Table24[[#This Row],[Purchased Bike]]="Yes",1,0)</f>
        <v>1</v>
      </c>
    </row>
    <row r="177" spans="1:16" hidden="1" x14ac:dyDescent="0.25">
      <c r="A177">
        <v>17504</v>
      </c>
      <c r="B177" t="s">
        <v>35</v>
      </c>
      <c r="C177" t="s">
        <v>33</v>
      </c>
      <c r="D177" s="2">
        <v>80000</v>
      </c>
      <c r="E177">
        <v>2</v>
      </c>
      <c r="F177" t="s">
        <v>19</v>
      </c>
      <c r="G177" t="s">
        <v>14</v>
      </c>
      <c r="H177" t="s">
        <v>15</v>
      </c>
      <c r="I177">
        <v>2</v>
      </c>
      <c r="J177" t="s">
        <v>23</v>
      </c>
      <c r="K177" t="s">
        <v>24</v>
      </c>
      <c r="L177">
        <v>52</v>
      </c>
      <c r="M177" t="str" cm="1">
        <f t="array" ref="M177">_xlfn.IFS(
L177&gt;50,"Old Age",
L177&gt;=31,"Middle Age",
L177&lt;31,"Young Age"
)</f>
        <v>Old Age</v>
      </c>
      <c r="N177" t="s">
        <v>15</v>
      </c>
      <c r="O177" t="str" cm="1">
        <f t="array" ref="O177">_xlfn.IFS(D177&gt;120000, "High Income", D177&gt;=80000, "Average Income", D177&lt;80000, "Low Income")</f>
        <v>Average Income</v>
      </c>
      <c r="P177">
        <f>IF(Table24[[#This Row],[Purchased Bike]]="Yes",1,0)</f>
        <v>1</v>
      </c>
    </row>
    <row r="178" spans="1:16" hidden="1" x14ac:dyDescent="0.25">
      <c r="A178">
        <v>12253</v>
      </c>
      <c r="B178" t="s">
        <v>35</v>
      </c>
      <c r="C178" t="s">
        <v>33</v>
      </c>
      <c r="D178" s="2">
        <v>20000</v>
      </c>
      <c r="E178">
        <v>0</v>
      </c>
      <c r="F178" t="s">
        <v>19</v>
      </c>
      <c r="G178" t="s">
        <v>25</v>
      </c>
      <c r="H178" t="s">
        <v>15</v>
      </c>
      <c r="I178">
        <v>0</v>
      </c>
      <c r="J178" t="s">
        <v>16</v>
      </c>
      <c r="K178" t="s">
        <v>24</v>
      </c>
      <c r="L178">
        <v>29</v>
      </c>
      <c r="M178" t="str" cm="1">
        <f t="array" ref="M178">_xlfn.IFS(
L178&gt;50,"Old Age",
L178&gt;=31,"Middle Age",
L178&lt;31,"Young Age"
)</f>
        <v>Young Age</v>
      </c>
      <c r="N178" t="s">
        <v>15</v>
      </c>
      <c r="O178" t="str" cm="1">
        <f t="array" ref="O178">_xlfn.IFS(D178&gt;120000, "High Income", D178&gt;=80000, "Average Income", D178&lt;80000, "Low Income")</f>
        <v>Low Income</v>
      </c>
      <c r="P178">
        <f>IF(Table24[[#This Row],[Purchased Bike]]="Yes",1,0)</f>
        <v>1</v>
      </c>
    </row>
    <row r="179" spans="1:16" hidden="1" x14ac:dyDescent="0.25">
      <c r="A179">
        <v>27304</v>
      </c>
      <c r="B179" t="s">
        <v>35</v>
      </c>
      <c r="C179" t="s">
        <v>33</v>
      </c>
      <c r="D179" s="2">
        <v>110000</v>
      </c>
      <c r="E179">
        <v>2</v>
      </c>
      <c r="F179" t="s">
        <v>19</v>
      </c>
      <c r="G179" t="s">
        <v>21</v>
      </c>
      <c r="H179" t="s">
        <v>18</v>
      </c>
      <c r="I179">
        <v>3</v>
      </c>
      <c r="J179" t="s">
        <v>23</v>
      </c>
      <c r="K179" t="s">
        <v>17</v>
      </c>
      <c r="L179">
        <v>48</v>
      </c>
      <c r="M179" t="str" cm="1">
        <f t="array" ref="M179">_xlfn.IFS(
L179&gt;50,"Old Age",
L179&gt;=31,"Middle Age",
L179&lt;31,"Young Age"
)</f>
        <v>Middle Age</v>
      </c>
      <c r="N179" t="s">
        <v>18</v>
      </c>
      <c r="O179" t="str" cm="1">
        <f t="array" ref="O179">_xlfn.IFS(D179&gt;120000, "High Income", D179&gt;=80000, "Average Income", D179&lt;80000, "Low Income")</f>
        <v>Average Income</v>
      </c>
      <c r="P179">
        <f>IF(Table24[[#This Row],[Purchased Bike]]="Yes",1,0)</f>
        <v>0</v>
      </c>
    </row>
    <row r="180" spans="1:16" hidden="1" x14ac:dyDescent="0.25">
      <c r="A180">
        <v>14191</v>
      </c>
      <c r="B180" t="s">
        <v>34</v>
      </c>
      <c r="C180" t="s">
        <v>34</v>
      </c>
      <c r="D180" s="2">
        <v>160000</v>
      </c>
      <c r="E180">
        <v>4</v>
      </c>
      <c r="F180" t="s">
        <v>19</v>
      </c>
      <c r="G180" t="s">
        <v>21</v>
      </c>
      <c r="H180" t="s">
        <v>18</v>
      </c>
      <c r="I180">
        <v>2</v>
      </c>
      <c r="J180" t="s">
        <v>30</v>
      </c>
      <c r="K180" t="s">
        <v>17</v>
      </c>
      <c r="L180">
        <v>55</v>
      </c>
      <c r="M180" t="str" cm="1">
        <f t="array" ref="M180">_xlfn.IFS(
L180&gt;50,"Old Age",
L180&gt;=31,"Middle Age",
L180&lt;31,"Young Age"
)</f>
        <v>Old Age</v>
      </c>
      <c r="N180" t="s">
        <v>15</v>
      </c>
      <c r="O180" t="str" cm="1">
        <f t="array" ref="O180">_xlfn.IFS(D180&gt;120000, "High Income", D180&gt;=80000, "Average Income", D180&lt;80000, "Low Income")</f>
        <v>High Income</v>
      </c>
      <c r="P180">
        <f>IF(Table24[[#This Row],[Purchased Bike]]="Yes",1,0)</f>
        <v>1</v>
      </c>
    </row>
    <row r="181" spans="1:16" x14ac:dyDescent="0.25">
      <c r="A181">
        <v>12212</v>
      </c>
      <c r="B181" t="s">
        <v>34</v>
      </c>
      <c r="C181" t="s">
        <v>33</v>
      </c>
      <c r="D181" s="2">
        <v>10000</v>
      </c>
      <c r="E181">
        <v>0</v>
      </c>
      <c r="F181" t="s">
        <v>31</v>
      </c>
      <c r="G181" t="s">
        <v>25</v>
      </c>
      <c r="H181" t="s">
        <v>15</v>
      </c>
      <c r="I181">
        <v>0</v>
      </c>
      <c r="J181" t="s">
        <v>16</v>
      </c>
      <c r="K181" t="s">
        <v>17</v>
      </c>
      <c r="L181">
        <v>37</v>
      </c>
      <c r="M181" t="str" cm="1">
        <f t="array" ref="M181">_xlfn.IFS(
L181&gt;50,"Old Age",
L181&gt;=31,"Middle Age",
L181&lt;31,"Young Age"
)</f>
        <v>Middle Age</v>
      </c>
      <c r="N181" t="s">
        <v>15</v>
      </c>
      <c r="O181" t="str" cm="1">
        <f t="array" ref="O181">_xlfn.IFS(D181&gt;120000, "High Income", D181&gt;=80000, "Average Income", D181&lt;80000, "Low Income")</f>
        <v>Low Income</v>
      </c>
      <c r="P181">
        <f>IF(Table24[[#This Row],[Purchased Bike]]="Yes",1,0)</f>
        <v>1</v>
      </c>
    </row>
    <row r="182" spans="1:16" hidden="1" x14ac:dyDescent="0.25">
      <c r="A182">
        <v>25529</v>
      </c>
      <c r="B182" t="s">
        <v>35</v>
      </c>
      <c r="C182" t="s">
        <v>34</v>
      </c>
      <c r="D182" s="2">
        <v>10000</v>
      </c>
      <c r="E182">
        <v>1</v>
      </c>
      <c r="F182" t="s">
        <v>31</v>
      </c>
      <c r="G182" t="s">
        <v>25</v>
      </c>
      <c r="H182" t="s">
        <v>15</v>
      </c>
      <c r="I182">
        <v>0</v>
      </c>
      <c r="J182" t="s">
        <v>16</v>
      </c>
      <c r="K182" t="s">
        <v>17</v>
      </c>
      <c r="L182">
        <v>44</v>
      </c>
      <c r="M182" t="str" cm="1">
        <f t="array" ref="M182">_xlfn.IFS(
L182&gt;50,"Old Age",
L182&gt;=31,"Middle Age",
L182&lt;31,"Young Age"
)</f>
        <v>Middle Age</v>
      </c>
      <c r="N182" t="s">
        <v>18</v>
      </c>
      <c r="O182" t="str" cm="1">
        <f t="array" ref="O182">_xlfn.IFS(D182&gt;120000, "High Income", D182&gt;=80000, "Average Income", D182&lt;80000, "Low Income")</f>
        <v>Low Income</v>
      </c>
      <c r="P182">
        <f>IF(Table24[[#This Row],[Purchased Bike]]="Yes",1,0)</f>
        <v>0</v>
      </c>
    </row>
    <row r="183" spans="1:16" hidden="1" x14ac:dyDescent="0.25">
      <c r="A183">
        <v>22170</v>
      </c>
      <c r="B183" t="s">
        <v>34</v>
      </c>
      <c r="C183" t="s">
        <v>33</v>
      </c>
      <c r="D183" s="2">
        <v>30000</v>
      </c>
      <c r="E183">
        <v>3</v>
      </c>
      <c r="F183" t="s">
        <v>19</v>
      </c>
      <c r="G183" t="s">
        <v>20</v>
      </c>
      <c r="H183" t="s">
        <v>18</v>
      </c>
      <c r="I183">
        <v>2</v>
      </c>
      <c r="J183" t="s">
        <v>26</v>
      </c>
      <c r="K183" t="s">
        <v>24</v>
      </c>
      <c r="L183">
        <v>55</v>
      </c>
      <c r="M183" t="str" cm="1">
        <f t="array" ref="M183">_xlfn.IFS(
L183&gt;50,"Old Age",
L183&gt;=31,"Middle Age",
L183&lt;31,"Young Age"
)</f>
        <v>Old Age</v>
      </c>
      <c r="N183" t="s">
        <v>15</v>
      </c>
      <c r="O183" t="str" cm="1">
        <f t="array" ref="O183">_xlfn.IFS(D183&gt;120000, "High Income", D183&gt;=80000, "Average Income", D183&lt;80000, "Low Income")</f>
        <v>Low Income</v>
      </c>
      <c r="P183">
        <f>IF(Table24[[#This Row],[Purchased Bike]]="Yes",1,0)</f>
        <v>1</v>
      </c>
    </row>
    <row r="184" spans="1:16" hidden="1" x14ac:dyDescent="0.25">
      <c r="A184">
        <v>19445</v>
      </c>
      <c r="B184" t="s">
        <v>34</v>
      </c>
      <c r="C184" t="s">
        <v>33</v>
      </c>
      <c r="D184" s="2">
        <v>10000</v>
      </c>
      <c r="E184">
        <v>2</v>
      </c>
      <c r="F184" t="s">
        <v>27</v>
      </c>
      <c r="G184" t="s">
        <v>25</v>
      </c>
      <c r="H184" t="s">
        <v>18</v>
      </c>
      <c r="I184">
        <v>1</v>
      </c>
      <c r="J184" t="s">
        <v>16</v>
      </c>
      <c r="K184" t="s">
        <v>17</v>
      </c>
      <c r="L184">
        <v>38</v>
      </c>
      <c r="M184" t="str" cm="1">
        <f t="array" ref="M184">_xlfn.IFS(
L184&gt;50,"Old Age",
L184&gt;=31,"Middle Age",
L184&lt;31,"Young Age"
)</f>
        <v>Middle Age</v>
      </c>
      <c r="N184" t="s">
        <v>18</v>
      </c>
      <c r="O184" t="str" cm="1">
        <f t="array" ref="O184">_xlfn.IFS(D184&gt;120000, "High Income", D184&gt;=80000, "Average Income", D184&lt;80000, "Low Income")</f>
        <v>Low Income</v>
      </c>
      <c r="P184">
        <f>IF(Table24[[#This Row],[Purchased Bike]]="Yes",1,0)</f>
        <v>0</v>
      </c>
    </row>
    <row r="185" spans="1:16" hidden="1" x14ac:dyDescent="0.25">
      <c r="A185">
        <v>15265</v>
      </c>
      <c r="B185" t="s">
        <v>35</v>
      </c>
      <c r="C185" t="s">
        <v>34</v>
      </c>
      <c r="D185" s="2">
        <v>40000</v>
      </c>
      <c r="E185">
        <v>2</v>
      </c>
      <c r="F185" t="s">
        <v>13</v>
      </c>
      <c r="G185" t="s">
        <v>28</v>
      </c>
      <c r="H185" t="s">
        <v>15</v>
      </c>
      <c r="I185">
        <v>2</v>
      </c>
      <c r="J185" t="s">
        <v>23</v>
      </c>
      <c r="K185" t="s">
        <v>24</v>
      </c>
      <c r="L185">
        <v>66</v>
      </c>
      <c r="M185" t="str" cm="1">
        <f t="array" ref="M185">_xlfn.IFS(
L185&gt;50,"Old Age",
L185&gt;=31,"Middle Age",
L185&lt;31,"Young Age"
)</f>
        <v>Old Age</v>
      </c>
      <c r="N185" t="s">
        <v>15</v>
      </c>
      <c r="O185" t="str" cm="1">
        <f t="array" ref="O185">_xlfn.IFS(D185&gt;120000, "High Income", D185&gt;=80000, "Average Income", D185&lt;80000, "Low Income")</f>
        <v>Low Income</v>
      </c>
      <c r="P185">
        <f>IF(Table24[[#This Row],[Purchased Bike]]="Yes",1,0)</f>
        <v>1</v>
      </c>
    </row>
    <row r="186" spans="1:16" hidden="1" x14ac:dyDescent="0.25">
      <c r="A186">
        <v>28918</v>
      </c>
      <c r="B186" t="s">
        <v>34</v>
      </c>
      <c r="C186" t="s">
        <v>33</v>
      </c>
      <c r="D186" s="2">
        <v>130000</v>
      </c>
      <c r="E186">
        <v>4</v>
      </c>
      <c r="F186" t="s">
        <v>27</v>
      </c>
      <c r="G186" t="s">
        <v>28</v>
      </c>
      <c r="H186" t="s">
        <v>18</v>
      </c>
      <c r="I186">
        <v>4</v>
      </c>
      <c r="J186" t="s">
        <v>30</v>
      </c>
      <c r="K186" t="s">
        <v>17</v>
      </c>
      <c r="L186">
        <v>58</v>
      </c>
      <c r="M186" t="str" cm="1">
        <f t="array" ref="M186">_xlfn.IFS(
L186&gt;50,"Old Age",
L186&gt;=31,"Middle Age",
L186&lt;31,"Young Age"
)</f>
        <v>Old Age</v>
      </c>
      <c r="N186" t="s">
        <v>18</v>
      </c>
      <c r="O186" t="str" cm="1">
        <f t="array" ref="O186">_xlfn.IFS(D186&gt;120000, "High Income", D186&gt;=80000, "Average Income", D186&lt;80000, "Low Income")</f>
        <v>High Income</v>
      </c>
      <c r="P186">
        <f>IF(Table24[[#This Row],[Purchased Bike]]="Yes",1,0)</f>
        <v>0</v>
      </c>
    </row>
    <row r="187" spans="1:16" x14ac:dyDescent="0.25">
      <c r="A187">
        <v>15799</v>
      </c>
      <c r="B187" t="s">
        <v>34</v>
      </c>
      <c r="C187" t="s">
        <v>33</v>
      </c>
      <c r="D187" s="2">
        <v>90000</v>
      </c>
      <c r="E187">
        <v>1</v>
      </c>
      <c r="F187" t="s">
        <v>13</v>
      </c>
      <c r="G187" t="s">
        <v>21</v>
      </c>
      <c r="H187" t="s">
        <v>15</v>
      </c>
      <c r="I187">
        <v>1</v>
      </c>
      <c r="J187" t="s">
        <v>22</v>
      </c>
      <c r="K187" t="s">
        <v>24</v>
      </c>
      <c r="L187">
        <v>47</v>
      </c>
      <c r="M187" t="str" cm="1">
        <f t="array" ref="M187">_xlfn.IFS(
L187&gt;50,"Old Age",
L187&gt;=31,"Middle Age",
L187&lt;31,"Young Age"
)</f>
        <v>Middle Age</v>
      </c>
      <c r="N187" t="s">
        <v>15</v>
      </c>
      <c r="O187" t="str" cm="1">
        <f t="array" ref="O187">_xlfn.IFS(D187&gt;120000, "High Income", D187&gt;=80000, "Average Income", D187&lt;80000, "Low Income")</f>
        <v>Average Income</v>
      </c>
      <c r="P187">
        <f>IF(Table24[[#This Row],[Purchased Bike]]="Yes",1,0)</f>
        <v>1</v>
      </c>
    </row>
    <row r="188" spans="1:16" hidden="1" x14ac:dyDescent="0.25">
      <c r="A188">
        <v>11047</v>
      </c>
      <c r="B188" t="s">
        <v>34</v>
      </c>
      <c r="C188" t="s">
        <v>33</v>
      </c>
      <c r="D188" s="2">
        <v>30000</v>
      </c>
      <c r="E188">
        <v>3</v>
      </c>
      <c r="F188" t="s">
        <v>27</v>
      </c>
      <c r="G188" t="s">
        <v>14</v>
      </c>
      <c r="H188" t="s">
        <v>18</v>
      </c>
      <c r="I188">
        <v>2</v>
      </c>
      <c r="J188" t="s">
        <v>26</v>
      </c>
      <c r="K188" t="s">
        <v>24</v>
      </c>
      <c r="L188">
        <v>56</v>
      </c>
      <c r="M188" t="str" cm="1">
        <f t="array" ref="M188">_xlfn.IFS(
L188&gt;50,"Old Age",
L188&gt;=31,"Middle Age",
L188&lt;31,"Young Age"
)</f>
        <v>Old Age</v>
      </c>
      <c r="N188" t="s">
        <v>15</v>
      </c>
      <c r="O188" t="str" cm="1">
        <f t="array" ref="O188">_xlfn.IFS(D188&gt;120000, "High Income", D188&gt;=80000, "Average Income", D188&lt;80000, "Low Income")</f>
        <v>Low Income</v>
      </c>
      <c r="P188">
        <f>IF(Table24[[#This Row],[Purchased Bike]]="Yes",1,0)</f>
        <v>1</v>
      </c>
    </row>
    <row r="189" spans="1:16" hidden="1" x14ac:dyDescent="0.25">
      <c r="A189">
        <v>18151</v>
      </c>
      <c r="B189" t="s">
        <v>35</v>
      </c>
      <c r="C189" t="s">
        <v>34</v>
      </c>
      <c r="D189" s="2">
        <v>80000</v>
      </c>
      <c r="E189">
        <v>5</v>
      </c>
      <c r="F189" t="s">
        <v>19</v>
      </c>
      <c r="G189" t="s">
        <v>21</v>
      </c>
      <c r="H189" t="s">
        <v>18</v>
      </c>
      <c r="I189">
        <v>2</v>
      </c>
      <c r="J189" t="s">
        <v>30</v>
      </c>
      <c r="K189" t="s">
        <v>17</v>
      </c>
      <c r="L189">
        <v>59</v>
      </c>
      <c r="M189" t="str" cm="1">
        <f t="array" ref="M189">_xlfn.IFS(
L189&gt;50,"Old Age",
L189&gt;=31,"Middle Age",
L189&lt;31,"Young Age"
)</f>
        <v>Old Age</v>
      </c>
      <c r="N189" t="s">
        <v>18</v>
      </c>
      <c r="O189" t="str" cm="1">
        <f t="array" ref="O189">_xlfn.IFS(D189&gt;120000, "High Income", D189&gt;=80000, "Average Income", D189&lt;80000, "Low Income")</f>
        <v>Average Income</v>
      </c>
      <c r="P189">
        <f>IF(Table24[[#This Row],[Purchased Bike]]="Yes",1,0)</f>
        <v>0</v>
      </c>
    </row>
    <row r="190" spans="1:16" x14ac:dyDescent="0.25">
      <c r="A190">
        <v>20606</v>
      </c>
      <c r="B190" t="s">
        <v>34</v>
      </c>
      <c r="C190" t="s">
        <v>33</v>
      </c>
      <c r="D190" s="2">
        <v>70000</v>
      </c>
      <c r="E190">
        <v>0</v>
      </c>
      <c r="F190" t="s">
        <v>13</v>
      </c>
      <c r="G190" t="s">
        <v>21</v>
      </c>
      <c r="H190" t="s">
        <v>15</v>
      </c>
      <c r="I190">
        <v>4</v>
      </c>
      <c r="J190" t="s">
        <v>30</v>
      </c>
      <c r="K190" t="s">
        <v>24</v>
      </c>
      <c r="L190">
        <v>32</v>
      </c>
      <c r="M190" t="str" cm="1">
        <f t="array" ref="M190">_xlfn.IFS(
L190&gt;50,"Old Age",
L190&gt;=31,"Middle Age",
L190&lt;31,"Young Age"
)</f>
        <v>Middle Age</v>
      </c>
      <c r="N190" t="s">
        <v>15</v>
      </c>
      <c r="O190" t="str" cm="1">
        <f t="array" ref="O190">_xlfn.IFS(D190&gt;120000, "High Income", D190&gt;=80000, "Average Income", D190&lt;80000, "Low Income")</f>
        <v>Low Income</v>
      </c>
      <c r="P190">
        <f>IF(Table24[[#This Row],[Purchased Bike]]="Yes",1,0)</f>
        <v>1</v>
      </c>
    </row>
    <row r="191" spans="1:16" x14ac:dyDescent="0.25">
      <c r="A191">
        <v>19482</v>
      </c>
      <c r="B191" t="s">
        <v>34</v>
      </c>
      <c r="C191" t="s">
        <v>34</v>
      </c>
      <c r="D191" s="2">
        <v>30000</v>
      </c>
      <c r="E191">
        <v>1</v>
      </c>
      <c r="F191" t="s">
        <v>19</v>
      </c>
      <c r="G191" t="s">
        <v>20</v>
      </c>
      <c r="H191" t="s">
        <v>15</v>
      </c>
      <c r="I191">
        <v>1</v>
      </c>
      <c r="J191" t="s">
        <v>16</v>
      </c>
      <c r="K191" t="s">
        <v>17</v>
      </c>
      <c r="L191">
        <v>44</v>
      </c>
      <c r="M191" t="str" cm="1">
        <f t="array" ref="M191">_xlfn.IFS(
L191&gt;50,"Old Age",
L191&gt;=31,"Middle Age",
L191&lt;31,"Young Age"
)</f>
        <v>Middle Age</v>
      </c>
      <c r="N191" t="s">
        <v>15</v>
      </c>
      <c r="O191" t="str" cm="1">
        <f t="array" ref="O191">_xlfn.IFS(D191&gt;120000, "High Income", D191&gt;=80000, "Average Income", D191&lt;80000, "Low Income")</f>
        <v>Low Income</v>
      </c>
      <c r="P191">
        <f>IF(Table24[[#This Row],[Purchased Bike]]="Yes",1,0)</f>
        <v>1</v>
      </c>
    </row>
    <row r="192" spans="1:16" hidden="1" x14ac:dyDescent="0.25">
      <c r="A192">
        <v>16489</v>
      </c>
      <c r="B192" t="s">
        <v>34</v>
      </c>
      <c r="C192" t="s">
        <v>34</v>
      </c>
      <c r="D192" s="2">
        <v>30000</v>
      </c>
      <c r="E192">
        <v>3</v>
      </c>
      <c r="F192" t="s">
        <v>27</v>
      </c>
      <c r="G192" t="s">
        <v>14</v>
      </c>
      <c r="H192" t="s">
        <v>15</v>
      </c>
      <c r="I192">
        <v>2</v>
      </c>
      <c r="J192" t="s">
        <v>23</v>
      </c>
      <c r="K192" t="s">
        <v>24</v>
      </c>
      <c r="L192">
        <v>55</v>
      </c>
      <c r="M192" t="str" cm="1">
        <f t="array" ref="M192">_xlfn.IFS(
L192&gt;50,"Old Age",
L192&gt;=31,"Middle Age",
L192&lt;31,"Young Age"
)</f>
        <v>Old Age</v>
      </c>
      <c r="N192" t="s">
        <v>18</v>
      </c>
      <c r="O192" t="str" cm="1">
        <f t="array" ref="O192">_xlfn.IFS(D192&gt;120000, "High Income", D192&gt;=80000, "Average Income", D192&lt;80000, "Low Income")</f>
        <v>Low Income</v>
      </c>
      <c r="P192">
        <f>IF(Table24[[#This Row],[Purchased Bike]]="Yes",1,0)</f>
        <v>0</v>
      </c>
    </row>
    <row r="193" spans="1:16" x14ac:dyDescent="0.25">
      <c r="A193">
        <v>26944</v>
      </c>
      <c r="B193" t="s">
        <v>35</v>
      </c>
      <c r="C193" t="s">
        <v>34</v>
      </c>
      <c r="D193" s="2">
        <v>90000</v>
      </c>
      <c r="E193">
        <v>2</v>
      </c>
      <c r="F193" t="s">
        <v>27</v>
      </c>
      <c r="G193" t="s">
        <v>25</v>
      </c>
      <c r="H193" t="s">
        <v>15</v>
      </c>
      <c r="I193">
        <v>0</v>
      </c>
      <c r="J193" t="s">
        <v>16</v>
      </c>
      <c r="K193" t="s">
        <v>17</v>
      </c>
      <c r="L193">
        <v>36</v>
      </c>
      <c r="M193" t="str" cm="1">
        <f t="array" ref="M193">_xlfn.IFS(
L193&gt;50,"Old Age",
L193&gt;=31,"Middle Age",
L193&lt;31,"Young Age"
)</f>
        <v>Middle Age</v>
      </c>
      <c r="N193" t="s">
        <v>15</v>
      </c>
      <c r="O193" t="str" cm="1">
        <f t="array" ref="O193">_xlfn.IFS(D193&gt;120000, "High Income", D193&gt;=80000, "Average Income", D193&lt;80000, "Low Income")</f>
        <v>Average Income</v>
      </c>
      <c r="P193">
        <f>IF(Table24[[#This Row],[Purchased Bike]]="Yes",1,0)</f>
        <v>1</v>
      </c>
    </row>
    <row r="194" spans="1:16" hidden="1" x14ac:dyDescent="0.25">
      <c r="A194">
        <v>15682</v>
      </c>
      <c r="B194" t="s">
        <v>35</v>
      </c>
      <c r="C194" t="s">
        <v>33</v>
      </c>
      <c r="D194" s="2">
        <v>80000</v>
      </c>
      <c r="E194">
        <v>5</v>
      </c>
      <c r="F194" t="s">
        <v>13</v>
      </c>
      <c r="G194" t="s">
        <v>28</v>
      </c>
      <c r="H194" t="s">
        <v>15</v>
      </c>
      <c r="I194">
        <v>2</v>
      </c>
      <c r="J194" t="s">
        <v>30</v>
      </c>
      <c r="K194" t="s">
        <v>17</v>
      </c>
      <c r="L194">
        <v>62</v>
      </c>
      <c r="M194" t="str" cm="1">
        <f t="array" ref="M194">_xlfn.IFS(
L194&gt;50,"Old Age",
L194&gt;=31,"Middle Age",
L194&lt;31,"Young Age"
)</f>
        <v>Old Age</v>
      </c>
      <c r="N194" t="s">
        <v>18</v>
      </c>
      <c r="O194" t="str" cm="1">
        <f t="array" ref="O194">_xlfn.IFS(D194&gt;120000, "High Income", D194&gt;=80000, "Average Income", D194&lt;80000, "Low Income")</f>
        <v>Average Income</v>
      </c>
      <c r="P194">
        <f>IF(Table24[[#This Row],[Purchased Bike]]="Yes",1,0)</f>
        <v>0</v>
      </c>
    </row>
    <row r="195" spans="1:16" hidden="1" x14ac:dyDescent="0.25">
      <c r="A195">
        <v>26032</v>
      </c>
      <c r="B195" t="s">
        <v>34</v>
      </c>
      <c r="C195" t="s">
        <v>33</v>
      </c>
      <c r="D195" s="2">
        <v>70000</v>
      </c>
      <c r="E195">
        <v>5</v>
      </c>
      <c r="F195" t="s">
        <v>13</v>
      </c>
      <c r="G195" t="s">
        <v>21</v>
      </c>
      <c r="H195" t="s">
        <v>15</v>
      </c>
      <c r="I195">
        <v>4</v>
      </c>
      <c r="J195" t="s">
        <v>30</v>
      </c>
      <c r="K195" t="s">
        <v>24</v>
      </c>
      <c r="L195">
        <v>41</v>
      </c>
      <c r="M195" t="str" cm="1">
        <f t="array" ref="M195">_xlfn.IFS(
L195&gt;50,"Old Age",
L195&gt;=31,"Middle Age",
L195&lt;31,"Young Age"
)</f>
        <v>Middle Age</v>
      </c>
      <c r="N195" t="s">
        <v>18</v>
      </c>
      <c r="O195" t="str" cm="1">
        <f t="array" ref="O195">_xlfn.IFS(D195&gt;120000, "High Income", D195&gt;=80000, "Average Income", D195&lt;80000, "Low Income")</f>
        <v>Low Income</v>
      </c>
      <c r="P195">
        <f>IF(Table24[[#This Row],[Purchased Bike]]="Yes",1,0)</f>
        <v>0</v>
      </c>
    </row>
    <row r="196" spans="1:16" hidden="1" x14ac:dyDescent="0.25">
      <c r="A196">
        <v>17843</v>
      </c>
      <c r="B196" t="s">
        <v>35</v>
      </c>
      <c r="C196" t="s">
        <v>33</v>
      </c>
      <c r="D196" s="2">
        <v>10000</v>
      </c>
      <c r="E196">
        <v>0</v>
      </c>
      <c r="F196" t="s">
        <v>29</v>
      </c>
      <c r="G196" t="s">
        <v>25</v>
      </c>
      <c r="H196" t="s">
        <v>18</v>
      </c>
      <c r="I196">
        <v>2</v>
      </c>
      <c r="J196" t="s">
        <v>16</v>
      </c>
      <c r="K196" t="s">
        <v>17</v>
      </c>
      <c r="L196">
        <v>32</v>
      </c>
      <c r="M196" t="str" cm="1">
        <f t="array" ref="M196">_xlfn.IFS(
L196&gt;50,"Old Age",
L196&gt;=31,"Middle Age",
L196&lt;31,"Young Age"
)</f>
        <v>Middle Age</v>
      </c>
      <c r="N196" t="s">
        <v>18</v>
      </c>
      <c r="O196" t="str" cm="1">
        <f t="array" ref="O196">_xlfn.IFS(D196&gt;120000, "High Income", D196&gt;=80000, "Average Income", D196&lt;80000, "Low Income")</f>
        <v>Low Income</v>
      </c>
      <c r="P196">
        <f>IF(Table24[[#This Row],[Purchased Bike]]="Yes",1,0)</f>
        <v>0</v>
      </c>
    </row>
    <row r="197" spans="1:16" hidden="1" x14ac:dyDescent="0.25">
      <c r="A197">
        <v>25559</v>
      </c>
      <c r="B197" t="s">
        <v>35</v>
      </c>
      <c r="C197" t="s">
        <v>34</v>
      </c>
      <c r="D197" s="2">
        <v>20000</v>
      </c>
      <c r="E197">
        <v>0</v>
      </c>
      <c r="F197" t="s">
        <v>13</v>
      </c>
      <c r="G197" t="s">
        <v>20</v>
      </c>
      <c r="H197" t="s">
        <v>15</v>
      </c>
      <c r="I197">
        <v>0</v>
      </c>
      <c r="J197" t="s">
        <v>16</v>
      </c>
      <c r="K197" t="s">
        <v>24</v>
      </c>
      <c r="L197">
        <v>25</v>
      </c>
      <c r="M197" t="str" cm="1">
        <f t="array" ref="M197">_xlfn.IFS(
L197&gt;50,"Old Age",
L197&gt;=31,"Middle Age",
L197&lt;31,"Young Age"
)</f>
        <v>Young Age</v>
      </c>
      <c r="N197" t="s">
        <v>15</v>
      </c>
      <c r="O197" t="str" cm="1">
        <f t="array" ref="O197">_xlfn.IFS(D197&gt;120000, "High Income", D197&gt;=80000, "Average Income", D197&lt;80000, "Low Income")</f>
        <v>Low Income</v>
      </c>
      <c r="P197">
        <f>IF(Table24[[#This Row],[Purchased Bike]]="Yes",1,0)</f>
        <v>1</v>
      </c>
    </row>
    <row r="198" spans="1:16" hidden="1" x14ac:dyDescent="0.25">
      <c r="A198">
        <v>16209</v>
      </c>
      <c r="B198" t="s">
        <v>35</v>
      </c>
      <c r="C198" t="s">
        <v>33</v>
      </c>
      <c r="D198" s="2">
        <v>50000</v>
      </c>
      <c r="E198">
        <v>0</v>
      </c>
      <c r="F198" t="s">
        <v>31</v>
      </c>
      <c r="G198" t="s">
        <v>14</v>
      </c>
      <c r="H198" t="s">
        <v>15</v>
      </c>
      <c r="I198">
        <v>0</v>
      </c>
      <c r="J198" t="s">
        <v>26</v>
      </c>
      <c r="K198" t="s">
        <v>17</v>
      </c>
      <c r="L198">
        <v>36</v>
      </c>
      <c r="M198" t="str" cm="1">
        <f t="array" ref="M198">_xlfn.IFS(
L198&gt;50,"Old Age",
L198&gt;=31,"Middle Age",
L198&lt;31,"Young Age"
)</f>
        <v>Middle Age</v>
      </c>
      <c r="N198" t="s">
        <v>18</v>
      </c>
      <c r="O198" t="str" cm="1">
        <f t="array" ref="O198">_xlfn.IFS(D198&gt;120000, "High Income", D198&gt;=80000, "Average Income", D198&lt;80000, "Low Income")</f>
        <v>Low Income</v>
      </c>
      <c r="P198">
        <f>IF(Table24[[#This Row],[Purchased Bike]]="Yes",1,0)</f>
        <v>0</v>
      </c>
    </row>
    <row r="199" spans="1:16" hidden="1" x14ac:dyDescent="0.25">
      <c r="A199">
        <v>11147</v>
      </c>
      <c r="B199" t="s">
        <v>34</v>
      </c>
      <c r="C199" t="s">
        <v>34</v>
      </c>
      <c r="D199" s="2">
        <v>60000</v>
      </c>
      <c r="E199">
        <v>2</v>
      </c>
      <c r="F199" t="s">
        <v>31</v>
      </c>
      <c r="G199" t="s">
        <v>28</v>
      </c>
      <c r="H199" t="s">
        <v>15</v>
      </c>
      <c r="I199">
        <v>1</v>
      </c>
      <c r="J199" t="s">
        <v>16</v>
      </c>
      <c r="K199" t="s">
        <v>24</v>
      </c>
      <c r="L199">
        <v>67</v>
      </c>
      <c r="M199" t="str" cm="1">
        <f t="array" ref="M199">_xlfn.IFS(
L199&gt;50,"Old Age",
L199&gt;=31,"Middle Age",
L199&lt;31,"Young Age"
)</f>
        <v>Old Age</v>
      </c>
      <c r="N199" t="s">
        <v>15</v>
      </c>
      <c r="O199" t="str" cm="1">
        <f t="array" ref="O199">_xlfn.IFS(D199&gt;120000, "High Income", D199&gt;=80000, "Average Income", D199&lt;80000, "Low Income")</f>
        <v>Low Income</v>
      </c>
      <c r="P199">
        <f>IF(Table24[[#This Row],[Purchased Bike]]="Yes",1,0)</f>
        <v>1</v>
      </c>
    </row>
    <row r="200" spans="1:16" x14ac:dyDescent="0.25">
      <c r="A200">
        <v>15214</v>
      </c>
      <c r="B200" t="s">
        <v>35</v>
      </c>
      <c r="C200" t="s">
        <v>33</v>
      </c>
      <c r="D200" s="2">
        <v>100000</v>
      </c>
      <c r="E200">
        <v>0</v>
      </c>
      <c r="F200" t="s">
        <v>31</v>
      </c>
      <c r="G200" t="s">
        <v>28</v>
      </c>
      <c r="H200" t="s">
        <v>18</v>
      </c>
      <c r="I200">
        <v>1</v>
      </c>
      <c r="J200" t="s">
        <v>26</v>
      </c>
      <c r="K200" t="s">
        <v>24</v>
      </c>
      <c r="L200">
        <v>39</v>
      </c>
      <c r="M200" t="str" cm="1">
        <f t="array" ref="M200">_xlfn.IFS(
L200&gt;50,"Old Age",
L200&gt;=31,"Middle Age",
L200&lt;31,"Young Age"
)</f>
        <v>Middle Age</v>
      </c>
      <c r="N200" t="s">
        <v>15</v>
      </c>
      <c r="O200" t="str" cm="1">
        <f t="array" ref="O200">_xlfn.IFS(D200&gt;120000, "High Income", D200&gt;=80000, "Average Income", D200&lt;80000, "Low Income")</f>
        <v>Average Income</v>
      </c>
      <c r="P200">
        <f>IF(Table24[[#This Row],[Purchased Bike]]="Yes",1,0)</f>
        <v>1</v>
      </c>
    </row>
    <row r="201" spans="1:16" x14ac:dyDescent="0.25">
      <c r="A201">
        <v>11453</v>
      </c>
      <c r="B201" t="s">
        <v>35</v>
      </c>
      <c r="C201" t="s">
        <v>34</v>
      </c>
      <c r="D201" s="2">
        <v>80000</v>
      </c>
      <c r="E201">
        <v>0</v>
      </c>
      <c r="F201" t="s">
        <v>13</v>
      </c>
      <c r="G201" t="s">
        <v>21</v>
      </c>
      <c r="H201" t="s">
        <v>18</v>
      </c>
      <c r="I201">
        <v>3</v>
      </c>
      <c r="J201" t="s">
        <v>30</v>
      </c>
      <c r="K201" t="s">
        <v>24</v>
      </c>
      <c r="L201">
        <v>33</v>
      </c>
      <c r="M201" t="str" cm="1">
        <f t="array" ref="M201">_xlfn.IFS(
L201&gt;50,"Old Age",
L201&gt;=31,"Middle Age",
L201&lt;31,"Young Age"
)</f>
        <v>Middle Age</v>
      </c>
      <c r="N201" t="s">
        <v>15</v>
      </c>
      <c r="O201" t="str" cm="1">
        <f t="array" ref="O201">_xlfn.IFS(D201&gt;120000, "High Income", D201&gt;=80000, "Average Income", D201&lt;80000, "Low Income")</f>
        <v>Average Income</v>
      </c>
      <c r="P201">
        <f>IF(Table24[[#This Row],[Purchased Bike]]="Yes",1,0)</f>
        <v>1</v>
      </c>
    </row>
    <row r="202" spans="1:16" hidden="1" x14ac:dyDescent="0.25">
      <c r="A202">
        <v>24584</v>
      </c>
      <c r="B202" t="s">
        <v>35</v>
      </c>
      <c r="C202" t="s">
        <v>34</v>
      </c>
      <c r="D202" s="2">
        <v>60000</v>
      </c>
      <c r="E202">
        <v>0</v>
      </c>
      <c r="F202" t="s">
        <v>13</v>
      </c>
      <c r="G202" t="s">
        <v>21</v>
      </c>
      <c r="H202" t="s">
        <v>18</v>
      </c>
      <c r="I202">
        <v>3</v>
      </c>
      <c r="J202" t="s">
        <v>22</v>
      </c>
      <c r="K202" t="s">
        <v>24</v>
      </c>
      <c r="L202">
        <v>31</v>
      </c>
      <c r="M202" t="str" cm="1">
        <f t="array" ref="M202">_xlfn.IFS(
L202&gt;50,"Old Age",
L202&gt;=31,"Middle Age",
L202&lt;31,"Young Age"
)</f>
        <v>Middle Age</v>
      </c>
      <c r="N202" t="s">
        <v>18</v>
      </c>
      <c r="O202" t="str" cm="1">
        <f t="array" ref="O202">_xlfn.IFS(D202&gt;120000, "High Income", D202&gt;=80000, "Average Income", D202&lt;80000, "Low Income")</f>
        <v>Low Income</v>
      </c>
      <c r="P202">
        <f>IF(Table24[[#This Row],[Purchased Bike]]="Yes",1,0)</f>
        <v>0</v>
      </c>
    </row>
    <row r="203" spans="1:16" hidden="1" x14ac:dyDescent="0.25">
      <c r="A203">
        <v>12585</v>
      </c>
      <c r="B203" t="s">
        <v>34</v>
      </c>
      <c r="C203" t="s">
        <v>34</v>
      </c>
      <c r="D203" s="2">
        <v>10000</v>
      </c>
      <c r="E203">
        <v>1</v>
      </c>
      <c r="F203" t="s">
        <v>27</v>
      </c>
      <c r="G203" t="s">
        <v>25</v>
      </c>
      <c r="H203" t="s">
        <v>15</v>
      </c>
      <c r="I203">
        <v>0</v>
      </c>
      <c r="J203" t="s">
        <v>22</v>
      </c>
      <c r="K203" t="s">
        <v>24</v>
      </c>
      <c r="L203">
        <v>27</v>
      </c>
      <c r="M203" t="str" cm="1">
        <f t="array" ref="M203">_xlfn.IFS(
L203&gt;50,"Old Age",
L203&gt;=31,"Middle Age",
L203&lt;31,"Young Age"
)</f>
        <v>Young Age</v>
      </c>
      <c r="N203" t="s">
        <v>15</v>
      </c>
      <c r="O203" t="str" cm="1">
        <f t="array" ref="O203">_xlfn.IFS(D203&gt;120000, "High Income", D203&gt;=80000, "Average Income", D203&lt;80000, "Low Income")</f>
        <v>Low Income</v>
      </c>
      <c r="P203">
        <f>IF(Table24[[#This Row],[Purchased Bike]]="Yes",1,0)</f>
        <v>1</v>
      </c>
    </row>
    <row r="204" spans="1:16" x14ac:dyDescent="0.25">
      <c r="A204">
        <v>18626</v>
      </c>
      <c r="B204" t="s">
        <v>35</v>
      </c>
      <c r="C204" t="s">
        <v>34</v>
      </c>
      <c r="D204" s="2">
        <v>40000</v>
      </c>
      <c r="E204">
        <v>2</v>
      </c>
      <c r="F204" t="s">
        <v>19</v>
      </c>
      <c r="G204" t="s">
        <v>20</v>
      </c>
      <c r="H204" t="s">
        <v>15</v>
      </c>
      <c r="I204">
        <v>0</v>
      </c>
      <c r="J204" t="s">
        <v>26</v>
      </c>
      <c r="K204" t="s">
        <v>17</v>
      </c>
      <c r="L204">
        <v>33</v>
      </c>
      <c r="M204" t="str" cm="1">
        <f t="array" ref="M204">_xlfn.IFS(
L204&gt;50,"Old Age",
L204&gt;=31,"Middle Age",
L204&lt;31,"Young Age"
)</f>
        <v>Middle Age</v>
      </c>
      <c r="N204" t="s">
        <v>15</v>
      </c>
      <c r="O204" t="str" cm="1">
        <f t="array" ref="O204">_xlfn.IFS(D204&gt;120000, "High Income", D204&gt;=80000, "Average Income", D204&lt;80000, "Low Income")</f>
        <v>Low Income</v>
      </c>
      <c r="P204">
        <f>IF(Table24[[#This Row],[Purchased Bike]]="Yes",1,0)</f>
        <v>1</v>
      </c>
    </row>
    <row r="205" spans="1:16" x14ac:dyDescent="0.25">
      <c r="A205">
        <v>29298</v>
      </c>
      <c r="B205" t="s">
        <v>35</v>
      </c>
      <c r="C205" t="s">
        <v>33</v>
      </c>
      <c r="D205" s="2">
        <v>60000</v>
      </c>
      <c r="E205">
        <v>1</v>
      </c>
      <c r="F205" t="s">
        <v>19</v>
      </c>
      <c r="G205" t="s">
        <v>14</v>
      </c>
      <c r="H205" t="s">
        <v>15</v>
      </c>
      <c r="I205">
        <v>1</v>
      </c>
      <c r="J205" t="s">
        <v>23</v>
      </c>
      <c r="K205" t="s">
        <v>24</v>
      </c>
      <c r="L205">
        <v>46</v>
      </c>
      <c r="M205" t="str" cm="1">
        <f t="array" ref="M205">_xlfn.IFS(
L205&gt;50,"Old Age",
L205&gt;=31,"Middle Age",
L205&lt;31,"Young Age"
)</f>
        <v>Middle Age</v>
      </c>
      <c r="N205" t="s">
        <v>15</v>
      </c>
      <c r="O205" t="str" cm="1">
        <f t="array" ref="O205">_xlfn.IFS(D205&gt;120000, "High Income", D205&gt;=80000, "Average Income", D205&lt;80000, "Low Income")</f>
        <v>Low Income</v>
      </c>
      <c r="P205">
        <f>IF(Table24[[#This Row],[Purchased Bike]]="Yes",1,0)</f>
        <v>1</v>
      </c>
    </row>
    <row r="206" spans="1:16" hidden="1" x14ac:dyDescent="0.25">
      <c r="A206">
        <v>24842</v>
      </c>
      <c r="B206" t="s">
        <v>35</v>
      </c>
      <c r="C206" t="s">
        <v>33</v>
      </c>
      <c r="D206" s="2">
        <v>90000</v>
      </c>
      <c r="E206">
        <v>3</v>
      </c>
      <c r="F206" t="s">
        <v>27</v>
      </c>
      <c r="G206" t="s">
        <v>21</v>
      </c>
      <c r="H206" t="s">
        <v>18</v>
      </c>
      <c r="I206">
        <v>1</v>
      </c>
      <c r="J206" t="s">
        <v>22</v>
      </c>
      <c r="K206" t="s">
        <v>17</v>
      </c>
      <c r="L206">
        <v>51</v>
      </c>
      <c r="M206" t="str" cm="1">
        <f t="array" ref="M206">_xlfn.IFS(
L206&gt;50,"Old Age",
L206&gt;=31,"Middle Age",
L206&lt;31,"Young Age"
)</f>
        <v>Old Age</v>
      </c>
      <c r="N206" t="s">
        <v>18</v>
      </c>
      <c r="O206" t="str" cm="1">
        <f t="array" ref="O206">_xlfn.IFS(D206&gt;120000, "High Income", D206&gt;=80000, "Average Income", D206&lt;80000, "Low Income")</f>
        <v>Average Income</v>
      </c>
      <c r="P206">
        <f>IF(Table24[[#This Row],[Purchased Bike]]="Yes",1,0)</f>
        <v>0</v>
      </c>
    </row>
    <row r="207" spans="1:16" x14ac:dyDescent="0.25">
      <c r="A207">
        <v>15657</v>
      </c>
      <c r="B207" t="s">
        <v>34</v>
      </c>
      <c r="C207" t="s">
        <v>34</v>
      </c>
      <c r="D207" s="2">
        <v>30000</v>
      </c>
      <c r="E207">
        <v>3</v>
      </c>
      <c r="F207" t="s">
        <v>31</v>
      </c>
      <c r="G207" t="s">
        <v>20</v>
      </c>
      <c r="H207" t="s">
        <v>15</v>
      </c>
      <c r="I207">
        <v>0</v>
      </c>
      <c r="J207" t="s">
        <v>16</v>
      </c>
      <c r="K207" t="s">
        <v>17</v>
      </c>
      <c r="L207">
        <v>46</v>
      </c>
      <c r="M207" t="str" cm="1">
        <f t="array" ref="M207">_xlfn.IFS(
L207&gt;50,"Old Age",
L207&gt;=31,"Middle Age",
L207&lt;31,"Young Age"
)</f>
        <v>Middle Age</v>
      </c>
      <c r="N207" t="s">
        <v>15</v>
      </c>
      <c r="O207" t="str" cm="1">
        <f t="array" ref="O207">_xlfn.IFS(D207&gt;120000, "High Income", D207&gt;=80000, "Average Income", D207&lt;80000, "Low Income")</f>
        <v>Low Income</v>
      </c>
      <c r="P207">
        <f>IF(Table24[[#This Row],[Purchased Bike]]="Yes",1,0)</f>
        <v>1</v>
      </c>
    </row>
    <row r="208" spans="1:16" hidden="1" x14ac:dyDescent="0.25">
      <c r="A208">
        <v>11415</v>
      </c>
      <c r="B208" t="s">
        <v>35</v>
      </c>
      <c r="C208" t="s">
        <v>34</v>
      </c>
      <c r="D208" s="2">
        <v>90000</v>
      </c>
      <c r="E208">
        <v>5</v>
      </c>
      <c r="F208" t="s">
        <v>19</v>
      </c>
      <c r="G208" t="s">
        <v>21</v>
      </c>
      <c r="H208" t="s">
        <v>18</v>
      </c>
      <c r="I208">
        <v>2</v>
      </c>
      <c r="J208" t="s">
        <v>30</v>
      </c>
      <c r="K208" t="s">
        <v>17</v>
      </c>
      <c r="L208">
        <v>62</v>
      </c>
      <c r="M208" t="str" cm="1">
        <f t="array" ref="M208">_xlfn.IFS(
L208&gt;50,"Old Age",
L208&gt;=31,"Middle Age",
L208&lt;31,"Young Age"
)</f>
        <v>Old Age</v>
      </c>
      <c r="N208" t="s">
        <v>18</v>
      </c>
      <c r="O208" t="str" cm="1">
        <f t="array" ref="O208">_xlfn.IFS(D208&gt;120000, "High Income", D208&gt;=80000, "Average Income", D208&lt;80000, "Low Income")</f>
        <v>Average Income</v>
      </c>
      <c r="P208">
        <f>IF(Table24[[#This Row],[Purchased Bike]]="Yes",1,0)</f>
        <v>0</v>
      </c>
    </row>
    <row r="209" spans="1:16" hidden="1" x14ac:dyDescent="0.25">
      <c r="A209">
        <v>28729</v>
      </c>
      <c r="B209" t="s">
        <v>35</v>
      </c>
      <c r="C209" t="s">
        <v>33</v>
      </c>
      <c r="D209" s="2">
        <v>20000</v>
      </c>
      <c r="E209">
        <v>0</v>
      </c>
      <c r="F209" t="s">
        <v>29</v>
      </c>
      <c r="G209" t="s">
        <v>25</v>
      </c>
      <c r="H209" t="s">
        <v>15</v>
      </c>
      <c r="I209">
        <v>2</v>
      </c>
      <c r="J209" t="s">
        <v>26</v>
      </c>
      <c r="K209" t="s">
        <v>17</v>
      </c>
      <c r="L209">
        <v>26</v>
      </c>
      <c r="M209" t="str" cm="1">
        <f t="array" ref="M209">_xlfn.IFS(
L209&gt;50,"Old Age",
L209&gt;=31,"Middle Age",
L209&lt;31,"Young Age"
)</f>
        <v>Young Age</v>
      </c>
      <c r="N209" t="s">
        <v>15</v>
      </c>
      <c r="O209" t="str" cm="1">
        <f t="array" ref="O209">_xlfn.IFS(D209&gt;120000, "High Income", D209&gt;=80000, "Average Income", D209&lt;80000, "Low Income")</f>
        <v>Low Income</v>
      </c>
      <c r="P209">
        <f>IF(Table24[[#This Row],[Purchased Bike]]="Yes",1,0)</f>
        <v>1</v>
      </c>
    </row>
    <row r="210" spans="1:16" x14ac:dyDescent="0.25">
      <c r="A210">
        <v>22633</v>
      </c>
      <c r="B210" t="s">
        <v>35</v>
      </c>
      <c r="C210" t="s">
        <v>33</v>
      </c>
      <c r="D210" s="2">
        <v>40000</v>
      </c>
      <c r="E210">
        <v>0</v>
      </c>
      <c r="F210" t="s">
        <v>31</v>
      </c>
      <c r="G210" t="s">
        <v>20</v>
      </c>
      <c r="H210" t="s">
        <v>15</v>
      </c>
      <c r="I210">
        <v>0</v>
      </c>
      <c r="J210" t="s">
        <v>16</v>
      </c>
      <c r="K210" t="s">
        <v>17</v>
      </c>
      <c r="L210">
        <v>37</v>
      </c>
      <c r="M210" t="str" cm="1">
        <f t="array" ref="M210">_xlfn.IFS(
L210&gt;50,"Old Age",
L210&gt;=31,"Middle Age",
L210&lt;31,"Young Age"
)</f>
        <v>Middle Age</v>
      </c>
      <c r="N210" t="s">
        <v>15</v>
      </c>
      <c r="O210" t="str" cm="1">
        <f t="array" ref="O210">_xlfn.IFS(D210&gt;120000, "High Income", D210&gt;=80000, "Average Income", D210&lt;80000, "Low Income")</f>
        <v>Low Income</v>
      </c>
      <c r="P210">
        <f>IF(Table24[[#This Row],[Purchased Bike]]="Yes",1,0)</f>
        <v>1</v>
      </c>
    </row>
    <row r="211" spans="1:16" x14ac:dyDescent="0.25">
      <c r="A211">
        <v>25649</v>
      </c>
      <c r="B211" t="s">
        <v>35</v>
      </c>
      <c r="C211" t="s">
        <v>33</v>
      </c>
      <c r="D211" s="2">
        <v>30000</v>
      </c>
      <c r="E211">
        <v>3</v>
      </c>
      <c r="F211" t="s">
        <v>19</v>
      </c>
      <c r="G211" t="s">
        <v>20</v>
      </c>
      <c r="H211" t="s">
        <v>15</v>
      </c>
      <c r="I211">
        <v>0</v>
      </c>
      <c r="J211" t="s">
        <v>16</v>
      </c>
      <c r="K211" t="s">
        <v>17</v>
      </c>
      <c r="L211">
        <v>42</v>
      </c>
      <c r="M211" t="str" cm="1">
        <f t="array" ref="M211">_xlfn.IFS(
L211&gt;50,"Old Age",
L211&gt;=31,"Middle Age",
L211&lt;31,"Young Age"
)</f>
        <v>Middle Age</v>
      </c>
      <c r="N211" t="s">
        <v>15</v>
      </c>
      <c r="O211" t="str" cm="1">
        <f t="array" ref="O211">_xlfn.IFS(D211&gt;120000, "High Income", D211&gt;=80000, "Average Income", D211&lt;80000, "Low Income")</f>
        <v>Low Income</v>
      </c>
      <c r="P211">
        <f>IF(Table24[[#This Row],[Purchased Bike]]="Yes",1,0)</f>
        <v>1</v>
      </c>
    </row>
    <row r="212" spans="1:16" hidden="1" x14ac:dyDescent="0.25">
      <c r="A212">
        <v>14669</v>
      </c>
      <c r="B212" t="s">
        <v>34</v>
      </c>
      <c r="C212" t="s">
        <v>33</v>
      </c>
      <c r="D212" s="2">
        <v>80000</v>
      </c>
      <c r="E212">
        <v>4</v>
      </c>
      <c r="F212" t="s">
        <v>31</v>
      </c>
      <c r="G212" t="s">
        <v>28</v>
      </c>
      <c r="H212" t="s">
        <v>15</v>
      </c>
      <c r="I212">
        <v>1</v>
      </c>
      <c r="J212" t="s">
        <v>16</v>
      </c>
      <c r="K212" t="s">
        <v>24</v>
      </c>
      <c r="L212">
        <v>36</v>
      </c>
      <c r="M212" t="str" cm="1">
        <f t="array" ref="M212">_xlfn.IFS(
L212&gt;50,"Old Age",
L212&gt;=31,"Middle Age",
L212&lt;31,"Young Age"
)</f>
        <v>Middle Age</v>
      </c>
      <c r="N212" t="s">
        <v>18</v>
      </c>
      <c r="O212" t="str" cm="1">
        <f t="array" ref="O212">_xlfn.IFS(D212&gt;120000, "High Income", D212&gt;=80000, "Average Income", D212&lt;80000, "Low Income")</f>
        <v>Average Income</v>
      </c>
      <c r="P212">
        <f>IF(Table24[[#This Row],[Purchased Bike]]="Yes",1,0)</f>
        <v>0</v>
      </c>
    </row>
    <row r="213" spans="1:16" x14ac:dyDescent="0.25">
      <c r="A213">
        <v>19299</v>
      </c>
      <c r="B213" t="s">
        <v>34</v>
      </c>
      <c r="C213" t="s">
        <v>33</v>
      </c>
      <c r="D213" s="2">
        <v>50000</v>
      </c>
      <c r="E213">
        <v>0</v>
      </c>
      <c r="F213" t="s">
        <v>31</v>
      </c>
      <c r="G213" t="s">
        <v>14</v>
      </c>
      <c r="H213" t="s">
        <v>15</v>
      </c>
      <c r="I213">
        <v>0</v>
      </c>
      <c r="J213" t="s">
        <v>16</v>
      </c>
      <c r="K213" t="s">
        <v>17</v>
      </c>
      <c r="L213">
        <v>36</v>
      </c>
      <c r="M213" t="str" cm="1">
        <f t="array" ref="M213">_xlfn.IFS(
L213&gt;50,"Old Age",
L213&gt;=31,"Middle Age",
L213&lt;31,"Young Age"
)</f>
        <v>Middle Age</v>
      </c>
      <c r="N213" t="s">
        <v>15</v>
      </c>
      <c r="O213" t="str" cm="1">
        <f t="array" ref="O213">_xlfn.IFS(D213&gt;120000, "High Income", D213&gt;=80000, "Average Income", D213&lt;80000, "Low Income")</f>
        <v>Low Income</v>
      </c>
      <c r="P213">
        <f>IF(Table24[[#This Row],[Purchased Bike]]="Yes",1,0)</f>
        <v>1</v>
      </c>
    </row>
    <row r="214" spans="1:16" hidden="1" x14ac:dyDescent="0.25">
      <c r="A214">
        <v>20946</v>
      </c>
      <c r="B214" t="s">
        <v>35</v>
      </c>
      <c r="C214" t="s">
        <v>33</v>
      </c>
      <c r="D214" s="2">
        <v>30000</v>
      </c>
      <c r="E214">
        <v>0</v>
      </c>
      <c r="F214" t="s">
        <v>19</v>
      </c>
      <c r="G214" t="s">
        <v>20</v>
      </c>
      <c r="H214" t="s">
        <v>18</v>
      </c>
      <c r="I214">
        <v>1</v>
      </c>
      <c r="J214" t="s">
        <v>22</v>
      </c>
      <c r="K214" t="s">
        <v>17</v>
      </c>
      <c r="L214">
        <v>30</v>
      </c>
      <c r="M214" t="str" cm="1">
        <f t="array" ref="M214">_xlfn.IFS(
L214&gt;50,"Old Age",
L214&gt;=31,"Middle Age",
L214&lt;31,"Young Age"
)</f>
        <v>Young Age</v>
      </c>
      <c r="N214" t="s">
        <v>18</v>
      </c>
      <c r="O214" t="str" cm="1">
        <f t="array" ref="O214">_xlfn.IFS(D214&gt;120000, "High Income", D214&gt;=80000, "Average Income", D214&lt;80000, "Low Income")</f>
        <v>Low Income</v>
      </c>
      <c r="P214">
        <f>IF(Table24[[#This Row],[Purchased Bike]]="Yes",1,0)</f>
        <v>0</v>
      </c>
    </row>
    <row r="215" spans="1:16" x14ac:dyDescent="0.25">
      <c r="A215">
        <v>11451</v>
      </c>
      <c r="B215" t="s">
        <v>35</v>
      </c>
      <c r="C215" t="s">
        <v>34</v>
      </c>
      <c r="D215" s="2">
        <v>70000</v>
      </c>
      <c r="E215">
        <v>0</v>
      </c>
      <c r="F215" t="s">
        <v>13</v>
      </c>
      <c r="G215" t="s">
        <v>21</v>
      </c>
      <c r="H215" t="s">
        <v>18</v>
      </c>
      <c r="I215">
        <v>4</v>
      </c>
      <c r="J215" t="s">
        <v>30</v>
      </c>
      <c r="K215" t="s">
        <v>24</v>
      </c>
      <c r="L215">
        <v>31</v>
      </c>
      <c r="M215" t="str" cm="1">
        <f t="array" ref="M215">_xlfn.IFS(
L215&gt;50,"Old Age",
L215&gt;=31,"Middle Age",
L215&lt;31,"Young Age"
)</f>
        <v>Middle Age</v>
      </c>
      <c r="N215" t="s">
        <v>15</v>
      </c>
      <c r="O215" t="str" cm="1">
        <f t="array" ref="O215">_xlfn.IFS(D215&gt;120000, "High Income", D215&gt;=80000, "Average Income", D215&lt;80000, "Low Income")</f>
        <v>Low Income</v>
      </c>
      <c r="P215">
        <f>IF(Table24[[#This Row],[Purchased Bike]]="Yes",1,0)</f>
        <v>1</v>
      </c>
    </row>
    <row r="216" spans="1:16" hidden="1" x14ac:dyDescent="0.25">
      <c r="A216">
        <v>25553</v>
      </c>
      <c r="B216" t="s">
        <v>34</v>
      </c>
      <c r="C216" t="s">
        <v>34</v>
      </c>
      <c r="D216" s="2">
        <v>30000</v>
      </c>
      <c r="E216">
        <v>1</v>
      </c>
      <c r="F216" t="s">
        <v>13</v>
      </c>
      <c r="G216" t="s">
        <v>20</v>
      </c>
      <c r="H216" t="s">
        <v>15</v>
      </c>
      <c r="I216">
        <v>0</v>
      </c>
      <c r="J216" t="s">
        <v>16</v>
      </c>
      <c r="K216" t="s">
        <v>17</v>
      </c>
      <c r="L216">
        <v>65</v>
      </c>
      <c r="M216" t="str" cm="1">
        <f t="array" ref="M216">_xlfn.IFS(
L216&gt;50,"Old Age",
L216&gt;=31,"Middle Age",
L216&lt;31,"Young Age"
)</f>
        <v>Old Age</v>
      </c>
      <c r="N216" t="s">
        <v>15</v>
      </c>
      <c r="O216" t="str" cm="1">
        <f t="array" ref="O216">_xlfn.IFS(D216&gt;120000, "High Income", D216&gt;=80000, "Average Income", D216&lt;80000, "Low Income")</f>
        <v>Low Income</v>
      </c>
      <c r="P216">
        <f>IF(Table24[[#This Row],[Purchased Bike]]="Yes",1,0)</f>
        <v>1</v>
      </c>
    </row>
    <row r="217" spans="1:16" hidden="1" x14ac:dyDescent="0.25">
      <c r="A217">
        <v>27951</v>
      </c>
      <c r="B217" t="s">
        <v>35</v>
      </c>
      <c r="C217" t="s">
        <v>34</v>
      </c>
      <c r="D217" s="2">
        <v>80000</v>
      </c>
      <c r="E217">
        <v>4</v>
      </c>
      <c r="F217" t="s">
        <v>19</v>
      </c>
      <c r="G217" t="s">
        <v>21</v>
      </c>
      <c r="H217" t="s">
        <v>18</v>
      </c>
      <c r="I217">
        <v>2</v>
      </c>
      <c r="J217" t="s">
        <v>22</v>
      </c>
      <c r="K217" t="s">
        <v>17</v>
      </c>
      <c r="L217">
        <v>54</v>
      </c>
      <c r="M217" t="str" cm="1">
        <f t="array" ref="M217">_xlfn.IFS(
L217&gt;50,"Old Age",
L217&gt;=31,"Middle Age",
L217&lt;31,"Young Age"
)</f>
        <v>Old Age</v>
      </c>
      <c r="N217" t="s">
        <v>15</v>
      </c>
      <c r="O217" t="str" cm="1">
        <f t="array" ref="O217">_xlfn.IFS(D217&gt;120000, "High Income", D217&gt;=80000, "Average Income", D217&lt;80000, "Low Income")</f>
        <v>Average Income</v>
      </c>
      <c r="P217">
        <f>IF(Table24[[#This Row],[Purchased Bike]]="Yes",1,0)</f>
        <v>1</v>
      </c>
    </row>
    <row r="218" spans="1:16" hidden="1" x14ac:dyDescent="0.25">
      <c r="A218">
        <v>25026</v>
      </c>
      <c r="B218" t="s">
        <v>34</v>
      </c>
      <c r="C218" t="s">
        <v>34</v>
      </c>
      <c r="D218" s="2">
        <v>20000</v>
      </c>
      <c r="E218">
        <v>2</v>
      </c>
      <c r="F218" t="s">
        <v>29</v>
      </c>
      <c r="G218" t="s">
        <v>20</v>
      </c>
      <c r="H218" t="s">
        <v>15</v>
      </c>
      <c r="I218">
        <v>3</v>
      </c>
      <c r="J218" t="s">
        <v>23</v>
      </c>
      <c r="K218" t="s">
        <v>24</v>
      </c>
      <c r="L218">
        <v>54</v>
      </c>
      <c r="M218" t="str" cm="1">
        <f t="array" ref="M218">_xlfn.IFS(
L218&gt;50,"Old Age",
L218&gt;=31,"Middle Age",
L218&lt;31,"Young Age"
)</f>
        <v>Old Age</v>
      </c>
      <c r="N218" t="s">
        <v>18</v>
      </c>
      <c r="O218" t="str" cm="1">
        <f t="array" ref="O218">_xlfn.IFS(D218&gt;120000, "High Income", D218&gt;=80000, "Average Income", D218&lt;80000, "Low Income")</f>
        <v>Low Income</v>
      </c>
      <c r="P218">
        <f>IF(Table24[[#This Row],[Purchased Bike]]="Yes",1,0)</f>
        <v>0</v>
      </c>
    </row>
    <row r="219" spans="1:16" hidden="1" x14ac:dyDescent="0.25">
      <c r="A219">
        <v>13673</v>
      </c>
      <c r="B219" t="s">
        <v>35</v>
      </c>
      <c r="C219" t="s">
        <v>33</v>
      </c>
      <c r="D219" s="2">
        <v>20000</v>
      </c>
      <c r="E219">
        <v>0</v>
      </c>
      <c r="F219" t="s">
        <v>29</v>
      </c>
      <c r="G219" t="s">
        <v>25</v>
      </c>
      <c r="H219" t="s">
        <v>18</v>
      </c>
      <c r="I219">
        <v>2</v>
      </c>
      <c r="J219" t="s">
        <v>16</v>
      </c>
      <c r="K219" t="s">
        <v>17</v>
      </c>
      <c r="L219">
        <v>25</v>
      </c>
      <c r="M219" t="str" cm="1">
        <f t="array" ref="M219">_xlfn.IFS(
L219&gt;50,"Old Age",
L219&gt;=31,"Middle Age",
L219&lt;31,"Young Age"
)</f>
        <v>Young Age</v>
      </c>
      <c r="N219" t="s">
        <v>18</v>
      </c>
      <c r="O219" t="str" cm="1">
        <f t="array" ref="O219">_xlfn.IFS(D219&gt;120000, "High Income", D219&gt;=80000, "Average Income", D219&lt;80000, "Low Income")</f>
        <v>Low Income</v>
      </c>
      <c r="P219">
        <f>IF(Table24[[#This Row],[Purchased Bike]]="Yes",1,0)</f>
        <v>0</v>
      </c>
    </row>
    <row r="220" spans="1:16" hidden="1" x14ac:dyDescent="0.25">
      <c r="A220">
        <v>16043</v>
      </c>
      <c r="B220" t="s">
        <v>35</v>
      </c>
      <c r="C220" t="s">
        <v>34</v>
      </c>
      <c r="D220" s="2">
        <v>10000</v>
      </c>
      <c r="E220">
        <v>1</v>
      </c>
      <c r="F220" t="s">
        <v>13</v>
      </c>
      <c r="G220" t="s">
        <v>25</v>
      </c>
      <c r="H220" t="s">
        <v>15</v>
      </c>
      <c r="I220">
        <v>0</v>
      </c>
      <c r="J220" t="s">
        <v>16</v>
      </c>
      <c r="K220" t="s">
        <v>17</v>
      </c>
      <c r="L220">
        <v>48</v>
      </c>
      <c r="M220" t="str" cm="1">
        <f t="array" ref="M220">_xlfn.IFS(
L220&gt;50,"Old Age",
L220&gt;=31,"Middle Age",
L220&lt;31,"Young Age"
)</f>
        <v>Middle Age</v>
      </c>
      <c r="N220" t="s">
        <v>18</v>
      </c>
      <c r="O220" t="str" cm="1">
        <f t="array" ref="O220">_xlfn.IFS(D220&gt;120000, "High Income", D220&gt;=80000, "Average Income", D220&lt;80000, "Low Income")</f>
        <v>Low Income</v>
      </c>
      <c r="P220">
        <f>IF(Table24[[#This Row],[Purchased Bike]]="Yes",1,0)</f>
        <v>0</v>
      </c>
    </row>
    <row r="221" spans="1:16" hidden="1" x14ac:dyDescent="0.25">
      <c r="A221">
        <v>22399</v>
      </c>
      <c r="B221" t="s">
        <v>35</v>
      </c>
      <c r="C221" t="s">
        <v>34</v>
      </c>
      <c r="D221" s="2">
        <v>10000</v>
      </c>
      <c r="E221">
        <v>0</v>
      </c>
      <c r="F221" t="s">
        <v>19</v>
      </c>
      <c r="G221" t="s">
        <v>25</v>
      </c>
      <c r="H221" t="s">
        <v>15</v>
      </c>
      <c r="I221">
        <v>1</v>
      </c>
      <c r="J221" t="s">
        <v>26</v>
      </c>
      <c r="K221" t="s">
        <v>24</v>
      </c>
      <c r="L221">
        <v>26</v>
      </c>
      <c r="M221" t="str" cm="1">
        <f t="array" ref="M221">_xlfn.IFS(
L221&gt;50,"Old Age",
L221&gt;=31,"Middle Age",
L221&lt;31,"Young Age"
)</f>
        <v>Young Age</v>
      </c>
      <c r="N221" t="s">
        <v>15</v>
      </c>
      <c r="O221" t="str" cm="1">
        <f t="array" ref="O221">_xlfn.IFS(D221&gt;120000, "High Income", D221&gt;=80000, "Average Income", D221&lt;80000, "Low Income")</f>
        <v>Low Income</v>
      </c>
      <c r="P221">
        <f>IF(Table24[[#This Row],[Purchased Bike]]="Yes",1,0)</f>
        <v>1</v>
      </c>
    </row>
    <row r="222" spans="1:16" x14ac:dyDescent="0.25">
      <c r="A222">
        <v>27696</v>
      </c>
      <c r="B222" t="s">
        <v>34</v>
      </c>
      <c r="C222" t="s">
        <v>34</v>
      </c>
      <c r="D222" s="2">
        <v>60000</v>
      </c>
      <c r="E222">
        <v>1</v>
      </c>
      <c r="F222" t="s">
        <v>13</v>
      </c>
      <c r="G222" t="s">
        <v>21</v>
      </c>
      <c r="H222" t="s">
        <v>15</v>
      </c>
      <c r="I222">
        <v>1</v>
      </c>
      <c r="J222" t="s">
        <v>23</v>
      </c>
      <c r="K222" t="s">
        <v>24</v>
      </c>
      <c r="L222">
        <v>43</v>
      </c>
      <c r="M222" t="str" cm="1">
        <f t="array" ref="M222">_xlfn.IFS(
L222&gt;50,"Old Age",
L222&gt;=31,"Middle Age",
L222&lt;31,"Young Age"
)</f>
        <v>Middle Age</v>
      </c>
      <c r="N222" t="s">
        <v>15</v>
      </c>
      <c r="O222" t="str" cm="1">
        <f t="array" ref="O222">_xlfn.IFS(D222&gt;120000, "High Income", D222&gt;=80000, "Average Income", D222&lt;80000, "Low Income")</f>
        <v>Low Income</v>
      </c>
      <c r="P222">
        <f>IF(Table24[[#This Row],[Purchased Bike]]="Yes",1,0)</f>
        <v>1</v>
      </c>
    </row>
    <row r="223" spans="1:16" hidden="1" x14ac:dyDescent="0.25">
      <c r="A223">
        <v>25313</v>
      </c>
      <c r="B223" t="s">
        <v>35</v>
      </c>
      <c r="C223" t="s">
        <v>34</v>
      </c>
      <c r="D223" s="2">
        <v>10000</v>
      </c>
      <c r="E223">
        <v>0</v>
      </c>
      <c r="F223" t="s">
        <v>29</v>
      </c>
      <c r="G223" t="s">
        <v>25</v>
      </c>
      <c r="H223" t="s">
        <v>18</v>
      </c>
      <c r="I223">
        <v>2</v>
      </c>
      <c r="J223" t="s">
        <v>26</v>
      </c>
      <c r="K223" t="s">
        <v>17</v>
      </c>
      <c r="L223">
        <v>35</v>
      </c>
      <c r="M223" t="str" cm="1">
        <f t="array" ref="M223">_xlfn.IFS(
L223&gt;50,"Old Age",
L223&gt;=31,"Middle Age",
L223&lt;31,"Young Age"
)</f>
        <v>Middle Age</v>
      </c>
      <c r="N223" t="s">
        <v>18</v>
      </c>
      <c r="O223" t="str" cm="1">
        <f t="array" ref="O223">_xlfn.IFS(D223&gt;120000, "High Income", D223&gt;=80000, "Average Income", D223&lt;80000, "Low Income")</f>
        <v>Low Income</v>
      </c>
      <c r="P223">
        <f>IF(Table24[[#This Row],[Purchased Bike]]="Yes",1,0)</f>
        <v>0</v>
      </c>
    </row>
    <row r="224" spans="1:16" hidden="1" x14ac:dyDescent="0.25">
      <c r="A224">
        <v>13813</v>
      </c>
      <c r="B224" t="s">
        <v>34</v>
      </c>
      <c r="C224" t="s">
        <v>33</v>
      </c>
      <c r="D224" s="2">
        <v>30000</v>
      </c>
      <c r="E224">
        <v>3</v>
      </c>
      <c r="F224" t="s">
        <v>19</v>
      </c>
      <c r="G224" t="s">
        <v>20</v>
      </c>
      <c r="H224" t="s">
        <v>18</v>
      </c>
      <c r="I224">
        <v>0</v>
      </c>
      <c r="J224" t="s">
        <v>16</v>
      </c>
      <c r="K224" t="s">
        <v>17</v>
      </c>
      <c r="L224">
        <v>42</v>
      </c>
      <c r="M224" t="str" cm="1">
        <f t="array" ref="M224">_xlfn.IFS(
L224&gt;50,"Old Age",
L224&gt;=31,"Middle Age",
L224&lt;31,"Young Age"
)</f>
        <v>Middle Age</v>
      </c>
      <c r="N224" t="s">
        <v>18</v>
      </c>
      <c r="O224" t="str" cm="1">
        <f t="array" ref="O224">_xlfn.IFS(D224&gt;120000, "High Income", D224&gt;=80000, "Average Income", D224&lt;80000, "Low Income")</f>
        <v>Low Income</v>
      </c>
      <c r="P224">
        <f>IF(Table24[[#This Row],[Purchased Bike]]="Yes",1,0)</f>
        <v>0</v>
      </c>
    </row>
    <row r="225" spans="1:16" hidden="1" x14ac:dyDescent="0.25">
      <c r="A225">
        <v>18711</v>
      </c>
      <c r="B225" t="s">
        <v>35</v>
      </c>
      <c r="C225" t="s">
        <v>33</v>
      </c>
      <c r="D225" s="2">
        <v>70000</v>
      </c>
      <c r="E225">
        <v>5</v>
      </c>
      <c r="F225" t="s">
        <v>13</v>
      </c>
      <c r="G225" t="s">
        <v>21</v>
      </c>
      <c r="H225" t="s">
        <v>15</v>
      </c>
      <c r="I225">
        <v>4</v>
      </c>
      <c r="J225" t="s">
        <v>30</v>
      </c>
      <c r="K225" t="s">
        <v>24</v>
      </c>
      <c r="L225">
        <v>39</v>
      </c>
      <c r="M225" t="str" cm="1">
        <f t="array" ref="M225">_xlfn.IFS(
L225&gt;50,"Old Age",
L225&gt;=31,"Middle Age",
L225&lt;31,"Young Age"
)</f>
        <v>Middle Age</v>
      </c>
      <c r="N225" t="s">
        <v>18</v>
      </c>
      <c r="O225" t="str" cm="1">
        <f t="array" ref="O225">_xlfn.IFS(D225&gt;120000, "High Income", D225&gt;=80000, "Average Income", D225&lt;80000, "Low Income")</f>
        <v>Low Income</v>
      </c>
      <c r="P225">
        <f>IF(Table24[[#This Row],[Purchased Bike]]="Yes",1,0)</f>
        <v>0</v>
      </c>
    </row>
    <row r="226" spans="1:16" hidden="1" x14ac:dyDescent="0.25">
      <c r="A226">
        <v>19650</v>
      </c>
      <c r="B226" t="s">
        <v>34</v>
      </c>
      <c r="C226" t="s">
        <v>33</v>
      </c>
      <c r="D226" s="2">
        <v>30000</v>
      </c>
      <c r="E226">
        <v>2</v>
      </c>
      <c r="F226" t="s">
        <v>19</v>
      </c>
      <c r="G226" t="s">
        <v>20</v>
      </c>
      <c r="H226" t="s">
        <v>18</v>
      </c>
      <c r="I226">
        <v>2</v>
      </c>
      <c r="J226" t="s">
        <v>16</v>
      </c>
      <c r="K226" t="s">
        <v>24</v>
      </c>
      <c r="L226">
        <v>67</v>
      </c>
      <c r="M226" t="str" cm="1">
        <f t="array" ref="M226">_xlfn.IFS(
L226&gt;50,"Old Age",
L226&gt;=31,"Middle Age",
L226&lt;31,"Young Age"
)</f>
        <v>Old Age</v>
      </c>
      <c r="N226" t="s">
        <v>18</v>
      </c>
      <c r="O226" t="str" cm="1">
        <f t="array" ref="O226">_xlfn.IFS(D226&gt;120000, "High Income", D226&gt;=80000, "Average Income", D226&lt;80000, "Low Income")</f>
        <v>Low Income</v>
      </c>
      <c r="P226">
        <f>IF(Table24[[#This Row],[Purchased Bike]]="Yes",1,0)</f>
        <v>0</v>
      </c>
    </row>
    <row r="227" spans="1:16" hidden="1" x14ac:dyDescent="0.25">
      <c r="A227">
        <v>14135</v>
      </c>
      <c r="B227" t="s">
        <v>34</v>
      </c>
      <c r="C227" t="s">
        <v>34</v>
      </c>
      <c r="D227" s="2">
        <v>20000</v>
      </c>
      <c r="E227">
        <v>1</v>
      </c>
      <c r="F227" t="s">
        <v>19</v>
      </c>
      <c r="G227" t="s">
        <v>25</v>
      </c>
      <c r="H227" t="s">
        <v>15</v>
      </c>
      <c r="I227">
        <v>0</v>
      </c>
      <c r="J227" t="s">
        <v>26</v>
      </c>
      <c r="K227" t="s">
        <v>17</v>
      </c>
      <c r="L227">
        <v>35</v>
      </c>
      <c r="M227" t="str" cm="1">
        <f t="array" ref="M227">_xlfn.IFS(
L227&gt;50,"Old Age",
L227&gt;=31,"Middle Age",
L227&lt;31,"Young Age"
)</f>
        <v>Middle Age</v>
      </c>
      <c r="N227" t="s">
        <v>18</v>
      </c>
      <c r="O227" t="str" cm="1">
        <f t="array" ref="O227">_xlfn.IFS(D227&gt;120000, "High Income", D227&gt;=80000, "Average Income", D227&lt;80000, "Low Income")</f>
        <v>Low Income</v>
      </c>
      <c r="P227">
        <f>IF(Table24[[#This Row],[Purchased Bike]]="Yes",1,0)</f>
        <v>0</v>
      </c>
    </row>
    <row r="228" spans="1:16" x14ac:dyDescent="0.25">
      <c r="A228">
        <v>12833</v>
      </c>
      <c r="B228" t="s">
        <v>35</v>
      </c>
      <c r="C228" t="s">
        <v>33</v>
      </c>
      <c r="D228" s="2">
        <v>20000</v>
      </c>
      <c r="E228">
        <v>3</v>
      </c>
      <c r="F228" t="s">
        <v>27</v>
      </c>
      <c r="G228" t="s">
        <v>25</v>
      </c>
      <c r="H228" t="s">
        <v>15</v>
      </c>
      <c r="I228">
        <v>1</v>
      </c>
      <c r="J228" t="s">
        <v>16</v>
      </c>
      <c r="K228" t="s">
        <v>17</v>
      </c>
      <c r="L228">
        <v>42</v>
      </c>
      <c r="M228" t="str" cm="1">
        <f t="array" ref="M228">_xlfn.IFS(
L228&gt;50,"Old Age",
L228&gt;=31,"Middle Age",
L228&lt;31,"Young Age"
)</f>
        <v>Middle Age</v>
      </c>
      <c r="N228" t="s">
        <v>15</v>
      </c>
      <c r="O228" t="str" cm="1">
        <f t="array" ref="O228">_xlfn.IFS(D228&gt;120000, "High Income", D228&gt;=80000, "Average Income", D228&lt;80000, "Low Income")</f>
        <v>Low Income</v>
      </c>
      <c r="P228">
        <f>IF(Table24[[#This Row],[Purchased Bike]]="Yes",1,0)</f>
        <v>1</v>
      </c>
    </row>
    <row r="229" spans="1:16" hidden="1" x14ac:dyDescent="0.25">
      <c r="A229">
        <v>26849</v>
      </c>
      <c r="B229" t="s">
        <v>34</v>
      </c>
      <c r="C229" t="s">
        <v>34</v>
      </c>
      <c r="D229" s="2">
        <v>10000</v>
      </c>
      <c r="E229">
        <v>3</v>
      </c>
      <c r="F229" t="s">
        <v>29</v>
      </c>
      <c r="G229" t="s">
        <v>25</v>
      </c>
      <c r="H229" t="s">
        <v>15</v>
      </c>
      <c r="I229">
        <v>2</v>
      </c>
      <c r="J229" t="s">
        <v>16</v>
      </c>
      <c r="K229" t="s">
        <v>17</v>
      </c>
      <c r="L229">
        <v>43</v>
      </c>
      <c r="M229" t="str" cm="1">
        <f t="array" ref="M229">_xlfn.IFS(
L229&gt;50,"Old Age",
L229&gt;=31,"Middle Age",
L229&lt;31,"Young Age"
)</f>
        <v>Middle Age</v>
      </c>
      <c r="N229" t="s">
        <v>18</v>
      </c>
      <c r="O229" t="str" cm="1">
        <f t="array" ref="O229">_xlfn.IFS(D229&gt;120000, "High Income", D229&gt;=80000, "Average Income", D229&lt;80000, "Low Income")</f>
        <v>Low Income</v>
      </c>
      <c r="P229">
        <f>IF(Table24[[#This Row],[Purchased Bike]]="Yes",1,0)</f>
        <v>0</v>
      </c>
    </row>
    <row r="230" spans="1:16" hidden="1" x14ac:dyDescent="0.25">
      <c r="A230">
        <v>20962</v>
      </c>
      <c r="B230" t="s">
        <v>34</v>
      </c>
      <c r="C230" t="s">
        <v>33</v>
      </c>
      <c r="D230" s="2">
        <v>20000</v>
      </c>
      <c r="E230">
        <v>1</v>
      </c>
      <c r="F230" t="s">
        <v>31</v>
      </c>
      <c r="G230" t="s">
        <v>20</v>
      </c>
      <c r="H230" t="s">
        <v>15</v>
      </c>
      <c r="I230">
        <v>0</v>
      </c>
      <c r="J230" t="s">
        <v>16</v>
      </c>
      <c r="K230" t="s">
        <v>17</v>
      </c>
      <c r="L230">
        <v>45</v>
      </c>
      <c r="M230" t="str" cm="1">
        <f t="array" ref="M230">_xlfn.IFS(
L230&gt;50,"Old Age",
L230&gt;=31,"Middle Age",
L230&lt;31,"Young Age"
)</f>
        <v>Middle Age</v>
      </c>
      <c r="N230" t="s">
        <v>18</v>
      </c>
      <c r="O230" t="str" cm="1">
        <f t="array" ref="O230">_xlfn.IFS(D230&gt;120000, "High Income", D230&gt;=80000, "Average Income", D230&lt;80000, "Low Income")</f>
        <v>Low Income</v>
      </c>
      <c r="P230">
        <f>IF(Table24[[#This Row],[Purchased Bike]]="Yes",1,0)</f>
        <v>0</v>
      </c>
    </row>
    <row r="231" spans="1:16" hidden="1" x14ac:dyDescent="0.25">
      <c r="A231">
        <v>28915</v>
      </c>
      <c r="B231" t="s">
        <v>35</v>
      </c>
      <c r="C231" t="s">
        <v>34</v>
      </c>
      <c r="D231" s="2">
        <v>80000</v>
      </c>
      <c r="E231">
        <v>5</v>
      </c>
      <c r="F231" t="s">
        <v>27</v>
      </c>
      <c r="G231" t="s">
        <v>28</v>
      </c>
      <c r="H231" t="s">
        <v>15</v>
      </c>
      <c r="I231">
        <v>3</v>
      </c>
      <c r="J231" t="s">
        <v>30</v>
      </c>
      <c r="K231" t="s">
        <v>17</v>
      </c>
      <c r="L231">
        <v>57</v>
      </c>
      <c r="M231" t="str" cm="1">
        <f t="array" ref="M231">_xlfn.IFS(
L231&gt;50,"Old Age",
L231&gt;=31,"Middle Age",
L231&lt;31,"Young Age"
)</f>
        <v>Old Age</v>
      </c>
      <c r="N231" t="s">
        <v>18</v>
      </c>
      <c r="O231" t="str" cm="1">
        <f t="array" ref="O231">_xlfn.IFS(D231&gt;120000, "High Income", D231&gt;=80000, "Average Income", D231&lt;80000, "Low Income")</f>
        <v>Average Income</v>
      </c>
      <c r="P231">
        <f>IF(Table24[[#This Row],[Purchased Bike]]="Yes",1,0)</f>
        <v>0</v>
      </c>
    </row>
    <row r="232" spans="1:16" hidden="1" x14ac:dyDescent="0.25">
      <c r="A232">
        <v>22830</v>
      </c>
      <c r="B232" t="s">
        <v>34</v>
      </c>
      <c r="C232" t="s">
        <v>34</v>
      </c>
      <c r="D232" s="2">
        <v>120000</v>
      </c>
      <c r="E232">
        <v>4</v>
      </c>
      <c r="F232" t="s">
        <v>19</v>
      </c>
      <c r="G232" t="s">
        <v>28</v>
      </c>
      <c r="H232" t="s">
        <v>15</v>
      </c>
      <c r="I232">
        <v>3</v>
      </c>
      <c r="J232" t="s">
        <v>30</v>
      </c>
      <c r="K232" t="s">
        <v>17</v>
      </c>
      <c r="L232">
        <v>56</v>
      </c>
      <c r="M232" t="str" cm="1">
        <f t="array" ref="M232">_xlfn.IFS(
L232&gt;50,"Old Age",
L232&gt;=31,"Middle Age",
L232&lt;31,"Young Age"
)</f>
        <v>Old Age</v>
      </c>
      <c r="N232" t="s">
        <v>18</v>
      </c>
      <c r="O232" t="str" cm="1">
        <f t="array" ref="O232">_xlfn.IFS(D232&gt;120000, "High Income", D232&gt;=80000, "Average Income", D232&lt;80000, "Low Income")</f>
        <v>Average Income</v>
      </c>
      <c r="P232">
        <f>IF(Table24[[#This Row],[Purchased Bike]]="Yes",1,0)</f>
        <v>0</v>
      </c>
    </row>
    <row r="233" spans="1:16" x14ac:dyDescent="0.25">
      <c r="A233">
        <v>14777</v>
      </c>
      <c r="B233" t="s">
        <v>34</v>
      </c>
      <c r="C233" t="s">
        <v>33</v>
      </c>
      <c r="D233" s="2">
        <v>40000</v>
      </c>
      <c r="E233">
        <v>0</v>
      </c>
      <c r="F233" t="s">
        <v>13</v>
      </c>
      <c r="G233" t="s">
        <v>20</v>
      </c>
      <c r="H233" t="s">
        <v>15</v>
      </c>
      <c r="I233">
        <v>0</v>
      </c>
      <c r="J233" t="s">
        <v>16</v>
      </c>
      <c r="K233" t="s">
        <v>17</v>
      </c>
      <c r="L233">
        <v>38</v>
      </c>
      <c r="M233" t="str" cm="1">
        <f t="array" ref="M233">_xlfn.IFS(
L233&gt;50,"Old Age",
L233&gt;=31,"Middle Age",
L233&lt;31,"Young Age"
)</f>
        <v>Middle Age</v>
      </c>
      <c r="N233" t="s">
        <v>15</v>
      </c>
      <c r="O233" t="str" cm="1">
        <f t="array" ref="O233">_xlfn.IFS(D233&gt;120000, "High Income", D233&gt;=80000, "Average Income", D233&lt;80000, "Low Income")</f>
        <v>Low Income</v>
      </c>
      <c r="P233">
        <f>IF(Table24[[#This Row],[Purchased Bike]]="Yes",1,0)</f>
        <v>1</v>
      </c>
    </row>
    <row r="234" spans="1:16" hidden="1" x14ac:dyDescent="0.25">
      <c r="A234">
        <v>12591</v>
      </c>
      <c r="B234" t="s">
        <v>34</v>
      </c>
      <c r="C234" t="s">
        <v>33</v>
      </c>
      <c r="D234" s="2">
        <v>30000</v>
      </c>
      <c r="E234">
        <v>4</v>
      </c>
      <c r="F234" t="s">
        <v>31</v>
      </c>
      <c r="G234" t="s">
        <v>20</v>
      </c>
      <c r="H234" t="s">
        <v>15</v>
      </c>
      <c r="I234">
        <v>0</v>
      </c>
      <c r="J234" t="s">
        <v>16</v>
      </c>
      <c r="K234" t="s">
        <v>17</v>
      </c>
      <c r="L234">
        <v>45</v>
      </c>
      <c r="M234" t="str" cm="1">
        <f t="array" ref="M234">_xlfn.IFS(
L234&gt;50,"Old Age",
L234&gt;=31,"Middle Age",
L234&lt;31,"Young Age"
)</f>
        <v>Middle Age</v>
      </c>
      <c r="N234" t="s">
        <v>18</v>
      </c>
      <c r="O234" t="str" cm="1">
        <f t="array" ref="O234">_xlfn.IFS(D234&gt;120000, "High Income", D234&gt;=80000, "Average Income", D234&lt;80000, "Low Income")</f>
        <v>Low Income</v>
      </c>
      <c r="P234">
        <f>IF(Table24[[#This Row],[Purchased Bike]]="Yes",1,0)</f>
        <v>0</v>
      </c>
    </row>
    <row r="235" spans="1:16" hidden="1" x14ac:dyDescent="0.25">
      <c r="A235">
        <v>24174</v>
      </c>
      <c r="B235" t="s">
        <v>34</v>
      </c>
      <c r="C235" t="s">
        <v>34</v>
      </c>
      <c r="D235" s="2">
        <v>20000</v>
      </c>
      <c r="E235">
        <v>0</v>
      </c>
      <c r="F235" t="s">
        <v>13</v>
      </c>
      <c r="G235" t="s">
        <v>20</v>
      </c>
      <c r="H235" t="s">
        <v>15</v>
      </c>
      <c r="I235">
        <v>0</v>
      </c>
      <c r="J235" t="s">
        <v>16</v>
      </c>
      <c r="K235" t="s">
        <v>24</v>
      </c>
      <c r="L235">
        <v>27</v>
      </c>
      <c r="M235" t="str" cm="1">
        <f t="array" ref="M235">_xlfn.IFS(
L235&gt;50,"Old Age",
L235&gt;=31,"Middle Age",
L235&lt;31,"Young Age"
)</f>
        <v>Young Age</v>
      </c>
      <c r="N235" t="s">
        <v>15</v>
      </c>
      <c r="O235" t="str" cm="1">
        <f t="array" ref="O235">_xlfn.IFS(D235&gt;120000, "High Income", D235&gt;=80000, "Average Income", D235&lt;80000, "Low Income")</f>
        <v>Low Income</v>
      </c>
      <c r="P235">
        <f>IF(Table24[[#This Row],[Purchased Bike]]="Yes",1,0)</f>
        <v>1</v>
      </c>
    </row>
    <row r="236" spans="1:16" x14ac:dyDescent="0.25">
      <c r="A236">
        <v>24611</v>
      </c>
      <c r="B236" t="s">
        <v>35</v>
      </c>
      <c r="C236" t="s">
        <v>34</v>
      </c>
      <c r="D236" s="2">
        <v>90000</v>
      </c>
      <c r="E236">
        <v>0</v>
      </c>
      <c r="F236" t="s">
        <v>13</v>
      </c>
      <c r="G236" t="s">
        <v>21</v>
      </c>
      <c r="H236" t="s">
        <v>18</v>
      </c>
      <c r="I236">
        <v>4</v>
      </c>
      <c r="J236" t="s">
        <v>30</v>
      </c>
      <c r="K236" t="s">
        <v>24</v>
      </c>
      <c r="L236">
        <v>35</v>
      </c>
      <c r="M236" t="str" cm="1">
        <f t="array" ref="M236">_xlfn.IFS(
L236&gt;50,"Old Age",
L236&gt;=31,"Middle Age",
L236&lt;31,"Young Age"
)</f>
        <v>Middle Age</v>
      </c>
      <c r="N236" t="s">
        <v>15</v>
      </c>
      <c r="O236" t="str" cm="1">
        <f t="array" ref="O236">_xlfn.IFS(D236&gt;120000, "High Income", D236&gt;=80000, "Average Income", D236&lt;80000, "Low Income")</f>
        <v>Average Income</v>
      </c>
      <c r="P236">
        <f>IF(Table24[[#This Row],[Purchased Bike]]="Yes",1,0)</f>
        <v>1</v>
      </c>
    </row>
    <row r="237" spans="1:16" hidden="1" x14ac:dyDescent="0.25">
      <c r="A237">
        <v>11340</v>
      </c>
      <c r="B237" t="s">
        <v>34</v>
      </c>
      <c r="C237" t="s">
        <v>33</v>
      </c>
      <c r="D237" s="2">
        <v>10000</v>
      </c>
      <c r="E237">
        <v>1</v>
      </c>
      <c r="F237" t="s">
        <v>31</v>
      </c>
      <c r="G237" t="s">
        <v>20</v>
      </c>
      <c r="H237" t="s">
        <v>15</v>
      </c>
      <c r="I237">
        <v>0</v>
      </c>
      <c r="J237" t="s">
        <v>16</v>
      </c>
      <c r="K237" t="s">
        <v>17</v>
      </c>
      <c r="L237">
        <v>70</v>
      </c>
      <c r="M237" t="str" cm="1">
        <f t="array" ref="M237">_xlfn.IFS(
L237&gt;50,"Old Age",
L237&gt;=31,"Middle Age",
L237&lt;31,"Young Age"
)</f>
        <v>Old Age</v>
      </c>
      <c r="N237" t="s">
        <v>15</v>
      </c>
      <c r="O237" t="str" cm="1">
        <f t="array" ref="O237">_xlfn.IFS(D237&gt;120000, "High Income", D237&gt;=80000, "Average Income", D237&lt;80000, "Low Income")</f>
        <v>Low Income</v>
      </c>
      <c r="P237">
        <f>IF(Table24[[#This Row],[Purchased Bike]]="Yes",1,0)</f>
        <v>1</v>
      </c>
    </row>
    <row r="238" spans="1:16" x14ac:dyDescent="0.25">
      <c r="A238">
        <v>25693</v>
      </c>
      <c r="B238" t="s">
        <v>35</v>
      </c>
      <c r="C238" t="s">
        <v>33</v>
      </c>
      <c r="D238" s="2">
        <v>30000</v>
      </c>
      <c r="E238">
        <v>5</v>
      </c>
      <c r="F238" t="s">
        <v>31</v>
      </c>
      <c r="G238" t="s">
        <v>20</v>
      </c>
      <c r="H238" t="s">
        <v>15</v>
      </c>
      <c r="I238">
        <v>0</v>
      </c>
      <c r="J238" t="s">
        <v>16</v>
      </c>
      <c r="K238" t="s">
        <v>17</v>
      </c>
      <c r="L238">
        <v>44</v>
      </c>
      <c r="M238" t="str" cm="1">
        <f t="array" ref="M238">_xlfn.IFS(
L238&gt;50,"Old Age",
L238&gt;=31,"Middle Age",
L238&lt;31,"Young Age"
)</f>
        <v>Middle Age</v>
      </c>
      <c r="N238" t="s">
        <v>15</v>
      </c>
      <c r="O238" t="str" cm="1">
        <f t="array" ref="O238">_xlfn.IFS(D238&gt;120000, "High Income", D238&gt;=80000, "Average Income", D238&lt;80000, "Low Income")</f>
        <v>Low Income</v>
      </c>
      <c r="P238">
        <f>IF(Table24[[#This Row],[Purchased Bike]]="Yes",1,0)</f>
        <v>1</v>
      </c>
    </row>
    <row r="239" spans="1:16" hidden="1" x14ac:dyDescent="0.25">
      <c r="A239">
        <v>25555</v>
      </c>
      <c r="B239" t="s">
        <v>34</v>
      </c>
      <c r="C239" t="s">
        <v>33</v>
      </c>
      <c r="D239" s="2">
        <v>10000</v>
      </c>
      <c r="E239">
        <v>0</v>
      </c>
      <c r="F239" t="s">
        <v>19</v>
      </c>
      <c r="G239" t="s">
        <v>25</v>
      </c>
      <c r="H239" t="s">
        <v>18</v>
      </c>
      <c r="I239">
        <v>1</v>
      </c>
      <c r="J239" t="s">
        <v>16</v>
      </c>
      <c r="K239" t="s">
        <v>24</v>
      </c>
      <c r="L239">
        <v>26</v>
      </c>
      <c r="M239" t="str" cm="1">
        <f t="array" ref="M239">_xlfn.IFS(
L239&gt;50,"Old Age",
L239&gt;=31,"Middle Age",
L239&lt;31,"Young Age"
)</f>
        <v>Young Age</v>
      </c>
      <c r="N239" t="s">
        <v>15</v>
      </c>
      <c r="O239" t="str" cm="1">
        <f t="array" ref="O239">_xlfn.IFS(D239&gt;120000, "High Income", D239&gt;=80000, "Average Income", D239&lt;80000, "Low Income")</f>
        <v>Low Income</v>
      </c>
      <c r="P239">
        <f>IF(Table24[[#This Row],[Purchased Bike]]="Yes",1,0)</f>
        <v>1</v>
      </c>
    </row>
    <row r="240" spans="1:16" hidden="1" x14ac:dyDescent="0.25">
      <c r="A240">
        <v>22006</v>
      </c>
      <c r="B240" t="s">
        <v>34</v>
      </c>
      <c r="C240" t="s">
        <v>34</v>
      </c>
      <c r="D240" s="2">
        <v>70000</v>
      </c>
      <c r="E240">
        <v>5</v>
      </c>
      <c r="F240" t="s">
        <v>19</v>
      </c>
      <c r="G240" t="s">
        <v>14</v>
      </c>
      <c r="H240" t="s">
        <v>15</v>
      </c>
      <c r="I240">
        <v>3</v>
      </c>
      <c r="J240" t="s">
        <v>23</v>
      </c>
      <c r="K240" t="s">
        <v>24</v>
      </c>
      <c r="L240">
        <v>46</v>
      </c>
      <c r="M240" t="str" cm="1">
        <f t="array" ref="M240">_xlfn.IFS(
L240&gt;50,"Old Age",
L240&gt;=31,"Middle Age",
L240&lt;31,"Young Age"
)</f>
        <v>Middle Age</v>
      </c>
      <c r="N240" t="s">
        <v>18</v>
      </c>
      <c r="O240" t="str" cm="1">
        <f t="array" ref="O240">_xlfn.IFS(D240&gt;120000, "High Income", D240&gt;=80000, "Average Income", D240&lt;80000, "Low Income")</f>
        <v>Low Income</v>
      </c>
      <c r="P240">
        <f>IF(Table24[[#This Row],[Purchased Bike]]="Yes",1,0)</f>
        <v>0</v>
      </c>
    </row>
    <row r="241" spans="1:16" x14ac:dyDescent="0.25">
      <c r="A241">
        <v>20060</v>
      </c>
      <c r="B241" t="s">
        <v>35</v>
      </c>
      <c r="C241" t="s">
        <v>33</v>
      </c>
      <c r="D241" s="2">
        <v>30000</v>
      </c>
      <c r="E241">
        <v>0</v>
      </c>
      <c r="F241" t="s">
        <v>27</v>
      </c>
      <c r="G241" t="s">
        <v>25</v>
      </c>
      <c r="H241" t="s">
        <v>18</v>
      </c>
      <c r="I241">
        <v>1</v>
      </c>
      <c r="J241" t="s">
        <v>22</v>
      </c>
      <c r="K241" t="s">
        <v>17</v>
      </c>
      <c r="L241">
        <v>34</v>
      </c>
      <c r="M241" t="str" cm="1">
        <f t="array" ref="M241">_xlfn.IFS(
L241&gt;50,"Old Age",
L241&gt;=31,"Middle Age",
L241&lt;31,"Young Age"
)</f>
        <v>Middle Age</v>
      </c>
      <c r="N241" t="s">
        <v>15</v>
      </c>
      <c r="O241" t="str" cm="1">
        <f t="array" ref="O241">_xlfn.IFS(D241&gt;120000, "High Income", D241&gt;=80000, "Average Income", D241&lt;80000, "Low Income")</f>
        <v>Low Income</v>
      </c>
      <c r="P241">
        <f>IF(Table24[[#This Row],[Purchased Bike]]="Yes",1,0)</f>
        <v>1</v>
      </c>
    </row>
    <row r="242" spans="1:16" hidden="1" x14ac:dyDescent="0.25">
      <c r="A242">
        <v>17702</v>
      </c>
      <c r="B242" t="s">
        <v>34</v>
      </c>
      <c r="C242" t="s">
        <v>34</v>
      </c>
      <c r="D242" s="2">
        <v>10000</v>
      </c>
      <c r="E242">
        <v>1</v>
      </c>
      <c r="F242" t="s">
        <v>31</v>
      </c>
      <c r="G242" t="s">
        <v>25</v>
      </c>
      <c r="H242" t="s">
        <v>15</v>
      </c>
      <c r="I242">
        <v>0</v>
      </c>
      <c r="J242" t="s">
        <v>16</v>
      </c>
      <c r="K242" t="s">
        <v>17</v>
      </c>
      <c r="L242">
        <v>37</v>
      </c>
      <c r="M242" t="str" cm="1">
        <f t="array" ref="M242">_xlfn.IFS(
L242&gt;50,"Old Age",
L242&gt;=31,"Middle Age",
L242&lt;31,"Young Age"
)</f>
        <v>Middle Age</v>
      </c>
      <c r="N242" t="s">
        <v>18</v>
      </c>
      <c r="O242" t="str" cm="1">
        <f t="array" ref="O242">_xlfn.IFS(D242&gt;120000, "High Income", D242&gt;=80000, "Average Income", D242&lt;80000, "Low Income")</f>
        <v>Low Income</v>
      </c>
      <c r="P242">
        <f>IF(Table24[[#This Row],[Purchased Bike]]="Yes",1,0)</f>
        <v>0</v>
      </c>
    </row>
    <row r="243" spans="1:16" hidden="1" x14ac:dyDescent="0.25">
      <c r="A243">
        <v>12503</v>
      </c>
      <c r="B243" t="s">
        <v>35</v>
      </c>
      <c r="C243" t="s">
        <v>33</v>
      </c>
      <c r="D243" s="2">
        <v>30000</v>
      </c>
      <c r="E243">
        <v>3</v>
      </c>
      <c r="F243" t="s">
        <v>19</v>
      </c>
      <c r="G243" t="s">
        <v>20</v>
      </c>
      <c r="H243" t="s">
        <v>15</v>
      </c>
      <c r="I243">
        <v>2</v>
      </c>
      <c r="J243" t="s">
        <v>16</v>
      </c>
      <c r="K243" t="s">
        <v>17</v>
      </c>
      <c r="L243">
        <v>27</v>
      </c>
      <c r="M243" t="str" cm="1">
        <f t="array" ref="M243">_xlfn.IFS(
L243&gt;50,"Old Age",
L243&gt;=31,"Middle Age",
L243&lt;31,"Young Age"
)</f>
        <v>Young Age</v>
      </c>
      <c r="N243" t="s">
        <v>18</v>
      </c>
      <c r="O243" t="str" cm="1">
        <f t="array" ref="O243">_xlfn.IFS(D243&gt;120000, "High Income", D243&gt;=80000, "Average Income", D243&lt;80000, "Low Income")</f>
        <v>Low Income</v>
      </c>
      <c r="P243">
        <f>IF(Table24[[#This Row],[Purchased Bike]]="Yes",1,0)</f>
        <v>0</v>
      </c>
    </row>
    <row r="244" spans="1:16" x14ac:dyDescent="0.25">
      <c r="A244">
        <v>23908</v>
      </c>
      <c r="B244" t="s">
        <v>35</v>
      </c>
      <c r="C244" t="s">
        <v>34</v>
      </c>
      <c r="D244" s="2">
        <v>30000</v>
      </c>
      <c r="E244">
        <v>1</v>
      </c>
      <c r="F244" t="s">
        <v>13</v>
      </c>
      <c r="G244" t="s">
        <v>20</v>
      </c>
      <c r="H244" t="s">
        <v>18</v>
      </c>
      <c r="I244">
        <v>1</v>
      </c>
      <c r="J244" t="s">
        <v>16</v>
      </c>
      <c r="K244" t="s">
        <v>17</v>
      </c>
      <c r="L244">
        <v>39</v>
      </c>
      <c r="M244" t="str" cm="1">
        <f t="array" ref="M244">_xlfn.IFS(
L244&gt;50,"Old Age",
L244&gt;=31,"Middle Age",
L244&lt;31,"Young Age"
)</f>
        <v>Middle Age</v>
      </c>
      <c r="N244" t="s">
        <v>15</v>
      </c>
      <c r="O244" t="str" cm="1">
        <f t="array" ref="O244">_xlfn.IFS(D244&gt;120000, "High Income", D244&gt;=80000, "Average Income", D244&lt;80000, "Low Income")</f>
        <v>Low Income</v>
      </c>
      <c r="P244">
        <f>IF(Table24[[#This Row],[Purchased Bike]]="Yes",1,0)</f>
        <v>1</v>
      </c>
    </row>
    <row r="245" spans="1:16" hidden="1" x14ac:dyDescent="0.25">
      <c r="A245">
        <v>22527</v>
      </c>
      <c r="B245" t="s">
        <v>35</v>
      </c>
      <c r="C245" t="s">
        <v>33</v>
      </c>
      <c r="D245" s="2">
        <v>20000</v>
      </c>
      <c r="E245">
        <v>0</v>
      </c>
      <c r="F245" t="s">
        <v>27</v>
      </c>
      <c r="G245" t="s">
        <v>25</v>
      </c>
      <c r="H245" t="s">
        <v>18</v>
      </c>
      <c r="I245">
        <v>1</v>
      </c>
      <c r="J245" t="s">
        <v>22</v>
      </c>
      <c r="K245" t="s">
        <v>17</v>
      </c>
      <c r="L245">
        <v>29</v>
      </c>
      <c r="M245" t="str" cm="1">
        <f t="array" ref="M245">_xlfn.IFS(
L245&gt;50,"Old Age",
L245&gt;=31,"Middle Age",
L245&lt;31,"Young Age"
)</f>
        <v>Young Age</v>
      </c>
      <c r="N245" t="s">
        <v>18</v>
      </c>
      <c r="O245" t="str" cm="1">
        <f t="array" ref="O245">_xlfn.IFS(D245&gt;120000, "High Income", D245&gt;=80000, "Average Income", D245&lt;80000, "Low Income")</f>
        <v>Low Income</v>
      </c>
      <c r="P245">
        <f>IF(Table24[[#This Row],[Purchased Bike]]="Yes",1,0)</f>
        <v>0</v>
      </c>
    </row>
    <row r="246" spans="1:16" hidden="1" x14ac:dyDescent="0.25">
      <c r="A246">
        <v>19057</v>
      </c>
      <c r="B246" t="s">
        <v>34</v>
      </c>
      <c r="C246" t="s">
        <v>33</v>
      </c>
      <c r="D246" s="2">
        <v>120000</v>
      </c>
      <c r="E246">
        <v>3</v>
      </c>
      <c r="F246" t="s">
        <v>13</v>
      </c>
      <c r="G246" t="s">
        <v>28</v>
      </c>
      <c r="H246" t="s">
        <v>18</v>
      </c>
      <c r="I246">
        <v>2</v>
      </c>
      <c r="J246" t="s">
        <v>30</v>
      </c>
      <c r="K246" t="s">
        <v>17</v>
      </c>
      <c r="L246">
        <v>52</v>
      </c>
      <c r="M246" t="str" cm="1">
        <f t="array" ref="M246">_xlfn.IFS(
L246&gt;50,"Old Age",
L246&gt;=31,"Middle Age",
L246&lt;31,"Young Age"
)</f>
        <v>Old Age</v>
      </c>
      <c r="N246" t="s">
        <v>15</v>
      </c>
      <c r="O246" t="str" cm="1">
        <f t="array" ref="O246">_xlfn.IFS(D246&gt;120000, "High Income", D246&gt;=80000, "Average Income", D246&lt;80000, "Low Income")</f>
        <v>Average Income</v>
      </c>
      <c r="P246">
        <f>IF(Table24[[#This Row],[Purchased Bike]]="Yes",1,0)</f>
        <v>1</v>
      </c>
    </row>
    <row r="247" spans="1:16" x14ac:dyDescent="0.25">
      <c r="A247">
        <v>18494</v>
      </c>
      <c r="B247" t="s">
        <v>34</v>
      </c>
      <c r="C247" t="s">
        <v>34</v>
      </c>
      <c r="D247" s="2">
        <v>110000</v>
      </c>
      <c r="E247">
        <v>5</v>
      </c>
      <c r="F247" t="s">
        <v>13</v>
      </c>
      <c r="G247" t="s">
        <v>28</v>
      </c>
      <c r="H247" t="s">
        <v>15</v>
      </c>
      <c r="I247">
        <v>4</v>
      </c>
      <c r="J247" t="s">
        <v>22</v>
      </c>
      <c r="K247" t="s">
        <v>24</v>
      </c>
      <c r="L247">
        <v>48</v>
      </c>
      <c r="M247" t="str" cm="1">
        <f t="array" ref="M247">_xlfn.IFS(
L247&gt;50,"Old Age",
L247&gt;=31,"Middle Age",
L247&lt;31,"Young Age"
)</f>
        <v>Middle Age</v>
      </c>
      <c r="N247" t="s">
        <v>15</v>
      </c>
      <c r="O247" t="str" cm="1">
        <f t="array" ref="O247">_xlfn.IFS(D247&gt;120000, "High Income", D247&gt;=80000, "Average Income", D247&lt;80000, "Low Income")</f>
        <v>Average Income</v>
      </c>
      <c r="P247">
        <f>IF(Table24[[#This Row],[Purchased Bike]]="Yes",1,0)</f>
        <v>1</v>
      </c>
    </row>
    <row r="248" spans="1:16" hidden="1" x14ac:dyDescent="0.25">
      <c r="A248">
        <v>11249</v>
      </c>
      <c r="B248" t="s">
        <v>34</v>
      </c>
      <c r="C248" t="s">
        <v>33</v>
      </c>
      <c r="D248" s="2">
        <v>130000</v>
      </c>
      <c r="E248">
        <v>3</v>
      </c>
      <c r="F248" t="s">
        <v>19</v>
      </c>
      <c r="G248" t="s">
        <v>21</v>
      </c>
      <c r="H248" t="s">
        <v>15</v>
      </c>
      <c r="I248">
        <v>3</v>
      </c>
      <c r="J248" t="s">
        <v>16</v>
      </c>
      <c r="K248" t="s">
        <v>17</v>
      </c>
      <c r="L248">
        <v>51</v>
      </c>
      <c r="M248" t="str" cm="1">
        <f t="array" ref="M248">_xlfn.IFS(
L248&gt;50,"Old Age",
L248&gt;=31,"Middle Age",
L248&lt;31,"Young Age"
)</f>
        <v>Old Age</v>
      </c>
      <c r="N248" t="s">
        <v>15</v>
      </c>
      <c r="O248" t="str" cm="1">
        <f t="array" ref="O248">_xlfn.IFS(D248&gt;120000, "High Income", D248&gt;=80000, "Average Income", D248&lt;80000, "Low Income")</f>
        <v>High Income</v>
      </c>
      <c r="P248">
        <f>IF(Table24[[#This Row],[Purchased Bike]]="Yes",1,0)</f>
        <v>1</v>
      </c>
    </row>
    <row r="249" spans="1:16" x14ac:dyDescent="0.25">
      <c r="A249">
        <v>21568</v>
      </c>
      <c r="B249" t="s">
        <v>34</v>
      </c>
      <c r="C249" t="s">
        <v>33</v>
      </c>
      <c r="D249" s="2">
        <v>100000</v>
      </c>
      <c r="E249">
        <v>0</v>
      </c>
      <c r="F249" t="s">
        <v>27</v>
      </c>
      <c r="G249" t="s">
        <v>28</v>
      </c>
      <c r="H249" t="s">
        <v>15</v>
      </c>
      <c r="I249">
        <v>4</v>
      </c>
      <c r="J249" t="s">
        <v>30</v>
      </c>
      <c r="K249" t="s">
        <v>24</v>
      </c>
      <c r="L249">
        <v>34</v>
      </c>
      <c r="M249" t="str" cm="1">
        <f t="array" ref="M249">_xlfn.IFS(
L249&gt;50,"Old Age",
L249&gt;=31,"Middle Age",
L249&lt;31,"Young Age"
)</f>
        <v>Middle Age</v>
      </c>
      <c r="N249" t="s">
        <v>15</v>
      </c>
      <c r="O249" t="str" cm="1">
        <f t="array" ref="O249">_xlfn.IFS(D249&gt;120000, "High Income", D249&gt;=80000, "Average Income", D249&lt;80000, "Low Income")</f>
        <v>Average Income</v>
      </c>
      <c r="P249">
        <f>IF(Table24[[#This Row],[Purchased Bike]]="Yes",1,0)</f>
        <v>1</v>
      </c>
    </row>
    <row r="250" spans="1:16" hidden="1" x14ac:dyDescent="0.25">
      <c r="A250">
        <v>13981</v>
      </c>
      <c r="B250" t="s">
        <v>34</v>
      </c>
      <c r="C250" t="s">
        <v>33</v>
      </c>
      <c r="D250" s="2">
        <v>10000</v>
      </c>
      <c r="E250">
        <v>5</v>
      </c>
      <c r="F250" t="s">
        <v>27</v>
      </c>
      <c r="G250" t="s">
        <v>14</v>
      </c>
      <c r="H250" t="s">
        <v>18</v>
      </c>
      <c r="I250">
        <v>3</v>
      </c>
      <c r="J250" t="s">
        <v>26</v>
      </c>
      <c r="K250" t="s">
        <v>24</v>
      </c>
      <c r="L250">
        <v>62</v>
      </c>
      <c r="M250" t="str" cm="1">
        <f t="array" ref="M250">_xlfn.IFS(
L250&gt;50,"Old Age",
L250&gt;=31,"Middle Age",
L250&lt;31,"Young Age"
)</f>
        <v>Old Age</v>
      </c>
      <c r="N250" t="s">
        <v>18</v>
      </c>
      <c r="O250" t="str" cm="1">
        <f t="array" ref="O250">_xlfn.IFS(D250&gt;120000, "High Income", D250&gt;=80000, "Average Income", D250&lt;80000, "Low Income")</f>
        <v>Low Income</v>
      </c>
      <c r="P250">
        <f>IF(Table24[[#This Row],[Purchased Bike]]="Yes",1,0)</f>
        <v>0</v>
      </c>
    </row>
    <row r="251" spans="1:16" x14ac:dyDescent="0.25">
      <c r="A251">
        <v>23432</v>
      </c>
      <c r="B251" t="s">
        <v>35</v>
      </c>
      <c r="C251" t="s">
        <v>34</v>
      </c>
      <c r="D251" s="2">
        <v>70000</v>
      </c>
      <c r="E251">
        <v>0</v>
      </c>
      <c r="F251" t="s">
        <v>13</v>
      </c>
      <c r="G251" t="s">
        <v>21</v>
      </c>
      <c r="H251" t="s">
        <v>15</v>
      </c>
      <c r="I251">
        <v>1</v>
      </c>
      <c r="J251" t="s">
        <v>23</v>
      </c>
      <c r="K251" t="s">
        <v>24</v>
      </c>
      <c r="L251">
        <v>37</v>
      </c>
      <c r="M251" t="str" cm="1">
        <f t="array" ref="M251">_xlfn.IFS(
L251&gt;50,"Old Age",
L251&gt;=31,"Middle Age",
L251&lt;31,"Young Age"
)</f>
        <v>Middle Age</v>
      </c>
      <c r="N251" t="s">
        <v>15</v>
      </c>
      <c r="O251" t="str" cm="1">
        <f t="array" ref="O251">_xlfn.IFS(D251&gt;120000, "High Income", D251&gt;=80000, "Average Income", D251&lt;80000, "Low Income")</f>
        <v>Low Income</v>
      </c>
      <c r="P251">
        <f>IF(Table24[[#This Row],[Purchased Bike]]="Yes",1,0)</f>
        <v>1</v>
      </c>
    </row>
    <row r="252" spans="1:16" hidden="1" x14ac:dyDescent="0.25">
      <c r="A252">
        <v>22931</v>
      </c>
      <c r="B252" t="s">
        <v>34</v>
      </c>
      <c r="C252" t="s">
        <v>34</v>
      </c>
      <c r="D252" s="2">
        <v>100000</v>
      </c>
      <c r="E252">
        <v>5</v>
      </c>
      <c r="F252" t="s">
        <v>31</v>
      </c>
      <c r="G252" t="s">
        <v>28</v>
      </c>
      <c r="H252" t="s">
        <v>18</v>
      </c>
      <c r="I252">
        <v>1</v>
      </c>
      <c r="J252" t="s">
        <v>26</v>
      </c>
      <c r="K252" t="s">
        <v>24</v>
      </c>
      <c r="L252">
        <v>78</v>
      </c>
      <c r="M252" t="str" cm="1">
        <f t="array" ref="M252">_xlfn.IFS(
L252&gt;50,"Old Age",
L252&gt;=31,"Middle Age",
L252&lt;31,"Young Age"
)</f>
        <v>Old Age</v>
      </c>
      <c r="N252" t="s">
        <v>15</v>
      </c>
      <c r="O252" t="str" cm="1">
        <f t="array" ref="O252">_xlfn.IFS(D252&gt;120000, "High Income", D252&gt;=80000, "Average Income", D252&lt;80000, "Low Income")</f>
        <v>Average Income</v>
      </c>
      <c r="P252">
        <f>IF(Table24[[#This Row],[Purchased Bike]]="Yes",1,0)</f>
        <v>1</v>
      </c>
    </row>
    <row r="253" spans="1:16" hidden="1" x14ac:dyDescent="0.25">
      <c r="A253">
        <v>18172</v>
      </c>
      <c r="B253" t="s">
        <v>34</v>
      </c>
      <c r="C253" t="s">
        <v>34</v>
      </c>
      <c r="D253" s="2">
        <v>130000</v>
      </c>
      <c r="E253">
        <v>4</v>
      </c>
      <c r="F253" t="s">
        <v>27</v>
      </c>
      <c r="G253" t="s">
        <v>21</v>
      </c>
      <c r="H253" t="s">
        <v>15</v>
      </c>
      <c r="I253">
        <v>3</v>
      </c>
      <c r="J253" t="s">
        <v>16</v>
      </c>
      <c r="K253" t="s">
        <v>17</v>
      </c>
      <c r="L253">
        <v>55</v>
      </c>
      <c r="M253" t="str" cm="1">
        <f t="array" ref="M253">_xlfn.IFS(
L253&gt;50,"Old Age",
L253&gt;=31,"Middle Age",
L253&lt;31,"Young Age"
)</f>
        <v>Old Age</v>
      </c>
      <c r="N253" t="s">
        <v>18</v>
      </c>
      <c r="O253" t="str" cm="1">
        <f t="array" ref="O253">_xlfn.IFS(D253&gt;120000, "High Income", D253&gt;=80000, "Average Income", D253&lt;80000, "Low Income")</f>
        <v>High Income</v>
      </c>
      <c r="P253">
        <f>IF(Table24[[#This Row],[Purchased Bike]]="Yes",1,0)</f>
        <v>0</v>
      </c>
    </row>
    <row r="254" spans="1:16" hidden="1" x14ac:dyDescent="0.25">
      <c r="A254">
        <v>12666</v>
      </c>
      <c r="B254" t="s">
        <v>35</v>
      </c>
      <c r="C254" t="s">
        <v>34</v>
      </c>
      <c r="D254" s="2">
        <v>60000</v>
      </c>
      <c r="E254">
        <v>0</v>
      </c>
      <c r="F254" t="s">
        <v>13</v>
      </c>
      <c r="G254" t="s">
        <v>21</v>
      </c>
      <c r="H254" t="s">
        <v>18</v>
      </c>
      <c r="I254">
        <v>4</v>
      </c>
      <c r="J254" t="s">
        <v>22</v>
      </c>
      <c r="K254" t="s">
        <v>24</v>
      </c>
      <c r="L254">
        <v>31</v>
      </c>
      <c r="M254" t="str" cm="1">
        <f t="array" ref="M254">_xlfn.IFS(
L254&gt;50,"Old Age",
L254&gt;=31,"Middle Age",
L254&lt;31,"Young Age"
)</f>
        <v>Middle Age</v>
      </c>
      <c r="N254" t="s">
        <v>18</v>
      </c>
      <c r="O254" t="str" cm="1">
        <f t="array" ref="O254">_xlfn.IFS(D254&gt;120000, "High Income", D254&gt;=80000, "Average Income", D254&lt;80000, "Low Income")</f>
        <v>Low Income</v>
      </c>
      <c r="P254">
        <f>IF(Table24[[#This Row],[Purchased Bike]]="Yes",1,0)</f>
        <v>0</v>
      </c>
    </row>
    <row r="255" spans="1:16" hidden="1" x14ac:dyDescent="0.25">
      <c r="A255">
        <v>20598</v>
      </c>
      <c r="B255" t="s">
        <v>34</v>
      </c>
      <c r="C255" t="s">
        <v>34</v>
      </c>
      <c r="D255" s="2">
        <v>100000</v>
      </c>
      <c r="E255">
        <v>3</v>
      </c>
      <c r="F255" t="s">
        <v>29</v>
      </c>
      <c r="G255" t="s">
        <v>21</v>
      </c>
      <c r="H255" t="s">
        <v>15</v>
      </c>
      <c r="I255">
        <v>0</v>
      </c>
      <c r="J255" t="s">
        <v>30</v>
      </c>
      <c r="K255" t="s">
        <v>17</v>
      </c>
      <c r="L255">
        <v>59</v>
      </c>
      <c r="M255" t="str" cm="1">
        <f t="array" ref="M255">_xlfn.IFS(
L255&gt;50,"Old Age",
L255&gt;=31,"Middle Age",
L255&lt;31,"Young Age"
)</f>
        <v>Old Age</v>
      </c>
      <c r="N255" t="s">
        <v>15</v>
      </c>
      <c r="O255" t="str" cm="1">
        <f t="array" ref="O255">_xlfn.IFS(D255&gt;120000, "High Income", D255&gt;=80000, "Average Income", D255&lt;80000, "Low Income")</f>
        <v>Average Income</v>
      </c>
      <c r="P255">
        <f>IF(Table24[[#This Row],[Purchased Bike]]="Yes",1,0)</f>
        <v>1</v>
      </c>
    </row>
    <row r="256" spans="1:16" hidden="1" x14ac:dyDescent="0.25">
      <c r="A256">
        <v>21375</v>
      </c>
      <c r="B256" t="s">
        <v>35</v>
      </c>
      <c r="C256" t="s">
        <v>34</v>
      </c>
      <c r="D256" s="2">
        <v>20000</v>
      </c>
      <c r="E256">
        <v>2</v>
      </c>
      <c r="F256" t="s">
        <v>29</v>
      </c>
      <c r="G256" t="s">
        <v>20</v>
      </c>
      <c r="H256" t="s">
        <v>15</v>
      </c>
      <c r="I256">
        <v>2</v>
      </c>
      <c r="J256" t="s">
        <v>23</v>
      </c>
      <c r="K256" t="s">
        <v>24</v>
      </c>
      <c r="L256">
        <v>57</v>
      </c>
      <c r="M256" t="str" cm="1">
        <f t="array" ref="M256">_xlfn.IFS(
L256&gt;50,"Old Age",
L256&gt;=31,"Middle Age",
L256&lt;31,"Young Age"
)</f>
        <v>Old Age</v>
      </c>
      <c r="N256" t="s">
        <v>18</v>
      </c>
      <c r="O256" t="str" cm="1">
        <f t="array" ref="O256">_xlfn.IFS(D256&gt;120000, "High Income", D256&gt;=80000, "Average Income", D256&lt;80000, "Low Income")</f>
        <v>Low Income</v>
      </c>
      <c r="P256">
        <f>IF(Table24[[#This Row],[Purchased Bike]]="Yes",1,0)</f>
        <v>0</v>
      </c>
    </row>
    <row r="257" spans="1:16" x14ac:dyDescent="0.25">
      <c r="A257">
        <v>20839</v>
      </c>
      <c r="B257" t="s">
        <v>35</v>
      </c>
      <c r="C257" t="s">
        <v>33</v>
      </c>
      <c r="D257" s="2">
        <v>30000</v>
      </c>
      <c r="E257">
        <v>3</v>
      </c>
      <c r="F257" t="s">
        <v>31</v>
      </c>
      <c r="G257" t="s">
        <v>20</v>
      </c>
      <c r="H257" t="s">
        <v>15</v>
      </c>
      <c r="I257">
        <v>0</v>
      </c>
      <c r="J257" t="s">
        <v>16</v>
      </c>
      <c r="K257" t="s">
        <v>17</v>
      </c>
      <c r="L257">
        <v>47</v>
      </c>
      <c r="M257" t="str" cm="1">
        <f t="array" ref="M257">_xlfn.IFS(
L257&gt;50,"Old Age",
L257&gt;=31,"Middle Age",
L257&lt;31,"Young Age"
)</f>
        <v>Middle Age</v>
      </c>
      <c r="N257" t="s">
        <v>15</v>
      </c>
      <c r="O257" t="str" cm="1">
        <f t="array" ref="O257">_xlfn.IFS(D257&gt;120000, "High Income", D257&gt;=80000, "Average Income", D257&lt;80000, "Low Income")</f>
        <v>Low Income</v>
      </c>
      <c r="P257">
        <f>IF(Table24[[#This Row],[Purchased Bike]]="Yes",1,0)</f>
        <v>1</v>
      </c>
    </row>
    <row r="258" spans="1:16" hidden="1" x14ac:dyDescent="0.25">
      <c r="A258">
        <v>21738</v>
      </c>
      <c r="B258" t="s">
        <v>34</v>
      </c>
      <c r="C258" t="s">
        <v>34</v>
      </c>
      <c r="D258" s="2">
        <v>20000</v>
      </c>
      <c r="E258">
        <v>1</v>
      </c>
      <c r="F258" t="s">
        <v>31</v>
      </c>
      <c r="G258" t="s">
        <v>20</v>
      </c>
      <c r="H258" t="s">
        <v>15</v>
      </c>
      <c r="I258">
        <v>0</v>
      </c>
      <c r="J258" t="s">
        <v>16</v>
      </c>
      <c r="K258" t="s">
        <v>17</v>
      </c>
      <c r="L258">
        <v>43</v>
      </c>
      <c r="M258" t="str" cm="1">
        <f t="array" ref="M258">_xlfn.IFS(
L258&gt;50,"Old Age",
L258&gt;=31,"Middle Age",
L258&lt;31,"Young Age"
)</f>
        <v>Middle Age</v>
      </c>
      <c r="N258" t="s">
        <v>18</v>
      </c>
      <c r="O258" t="str" cm="1">
        <f t="array" ref="O258">_xlfn.IFS(D258&gt;120000, "High Income", D258&gt;=80000, "Average Income", D258&lt;80000, "Low Income")</f>
        <v>Low Income</v>
      </c>
      <c r="P258">
        <f>IF(Table24[[#This Row],[Purchased Bike]]="Yes",1,0)</f>
        <v>0</v>
      </c>
    </row>
    <row r="259" spans="1:16" x14ac:dyDescent="0.25">
      <c r="A259">
        <v>14164</v>
      </c>
      <c r="B259" t="s">
        <v>35</v>
      </c>
      <c r="C259" t="s">
        <v>33</v>
      </c>
      <c r="D259" s="2">
        <v>50000</v>
      </c>
      <c r="E259">
        <v>0</v>
      </c>
      <c r="F259" t="s">
        <v>31</v>
      </c>
      <c r="G259" t="s">
        <v>14</v>
      </c>
      <c r="H259" t="s">
        <v>15</v>
      </c>
      <c r="I259">
        <v>0</v>
      </c>
      <c r="J259" t="s">
        <v>16</v>
      </c>
      <c r="K259" t="s">
        <v>17</v>
      </c>
      <c r="L259">
        <v>36</v>
      </c>
      <c r="M259" t="str" cm="1">
        <f t="array" ref="M259">_xlfn.IFS(
L259&gt;50,"Old Age",
L259&gt;=31,"Middle Age",
L259&lt;31,"Young Age"
)</f>
        <v>Middle Age</v>
      </c>
      <c r="N259" t="s">
        <v>15</v>
      </c>
      <c r="O259" t="str" cm="1">
        <f t="array" ref="O259">_xlfn.IFS(D259&gt;120000, "High Income", D259&gt;=80000, "Average Income", D259&lt;80000, "Low Income")</f>
        <v>Low Income</v>
      </c>
      <c r="P259">
        <f>IF(Table24[[#This Row],[Purchased Bike]]="Yes",1,0)</f>
        <v>1</v>
      </c>
    </row>
    <row r="260" spans="1:16" hidden="1" x14ac:dyDescent="0.25">
      <c r="A260">
        <v>14193</v>
      </c>
      <c r="B260" t="s">
        <v>35</v>
      </c>
      <c r="C260" t="s">
        <v>33</v>
      </c>
      <c r="D260" s="2">
        <v>100000</v>
      </c>
      <c r="E260">
        <v>3</v>
      </c>
      <c r="F260" t="s">
        <v>19</v>
      </c>
      <c r="G260" t="s">
        <v>28</v>
      </c>
      <c r="H260" t="s">
        <v>15</v>
      </c>
      <c r="I260">
        <v>4</v>
      </c>
      <c r="J260" t="s">
        <v>30</v>
      </c>
      <c r="K260" t="s">
        <v>17</v>
      </c>
      <c r="L260">
        <v>56</v>
      </c>
      <c r="M260" t="str" cm="1">
        <f t="array" ref="M260">_xlfn.IFS(
L260&gt;50,"Old Age",
L260&gt;=31,"Middle Age",
L260&lt;31,"Young Age"
)</f>
        <v>Old Age</v>
      </c>
      <c r="N260" t="s">
        <v>18</v>
      </c>
      <c r="O260" t="str" cm="1">
        <f t="array" ref="O260">_xlfn.IFS(D260&gt;120000, "High Income", D260&gt;=80000, "Average Income", D260&lt;80000, "Low Income")</f>
        <v>Average Income</v>
      </c>
      <c r="P260">
        <f>IF(Table24[[#This Row],[Purchased Bike]]="Yes",1,0)</f>
        <v>0</v>
      </c>
    </row>
    <row r="261" spans="1:16" x14ac:dyDescent="0.25">
      <c r="A261">
        <v>12705</v>
      </c>
      <c r="B261" t="s">
        <v>34</v>
      </c>
      <c r="C261" t="s">
        <v>34</v>
      </c>
      <c r="D261" s="2">
        <v>150000</v>
      </c>
      <c r="E261">
        <v>0</v>
      </c>
      <c r="F261" t="s">
        <v>13</v>
      </c>
      <c r="G261" t="s">
        <v>28</v>
      </c>
      <c r="H261" t="s">
        <v>15</v>
      </c>
      <c r="I261">
        <v>4</v>
      </c>
      <c r="J261" t="s">
        <v>16</v>
      </c>
      <c r="K261" t="s">
        <v>24</v>
      </c>
      <c r="L261">
        <v>37</v>
      </c>
      <c r="M261" t="str" cm="1">
        <f t="array" ref="M261">_xlfn.IFS(
L261&gt;50,"Old Age",
L261&gt;=31,"Middle Age",
L261&lt;31,"Young Age"
)</f>
        <v>Middle Age</v>
      </c>
      <c r="N261" t="s">
        <v>15</v>
      </c>
      <c r="O261" t="str" cm="1">
        <f t="array" ref="O261">_xlfn.IFS(D261&gt;120000, "High Income", D261&gt;=80000, "Average Income", D261&lt;80000, "Low Income")</f>
        <v>High Income</v>
      </c>
      <c r="P261">
        <f>IF(Table24[[#This Row],[Purchased Bike]]="Yes",1,0)</f>
        <v>1</v>
      </c>
    </row>
    <row r="262" spans="1:16" hidden="1" x14ac:dyDescent="0.25">
      <c r="A262">
        <v>22672</v>
      </c>
      <c r="B262" t="s">
        <v>35</v>
      </c>
      <c r="C262" t="s">
        <v>33</v>
      </c>
      <c r="D262" s="2">
        <v>30000</v>
      </c>
      <c r="E262">
        <v>2</v>
      </c>
      <c r="F262" t="s">
        <v>19</v>
      </c>
      <c r="G262" t="s">
        <v>20</v>
      </c>
      <c r="H262" t="s">
        <v>15</v>
      </c>
      <c r="I262">
        <v>0</v>
      </c>
      <c r="J262" t="s">
        <v>16</v>
      </c>
      <c r="K262" t="s">
        <v>17</v>
      </c>
      <c r="L262">
        <v>43</v>
      </c>
      <c r="M262" t="str" cm="1">
        <f t="array" ref="M262">_xlfn.IFS(
L262&gt;50,"Old Age",
L262&gt;=31,"Middle Age",
L262&lt;31,"Young Age"
)</f>
        <v>Middle Age</v>
      </c>
      <c r="N262" t="s">
        <v>18</v>
      </c>
      <c r="O262" t="str" cm="1">
        <f t="array" ref="O262">_xlfn.IFS(D262&gt;120000, "High Income", D262&gt;=80000, "Average Income", D262&lt;80000, "Low Income")</f>
        <v>Low Income</v>
      </c>
      <c r="P262">
        <f>IF(Table24[[#This Row],[Purchased Bike]]="Yes",1,0)</f>
        <v>0</v>
      </c>
    </row>
    <row r="263" spans="1:16" x14ac:dyDescent="0.25">
      <c r="A263">
        <v>26219</v>
      </c>
      <c r="B263" t="s">
        <v>34</v>
      </c>
      <c r="C263" t="s">
        <v>33</v>
      </c>
      <c r="D263" s="2">
        <v>40000</v>
      </c>
      <c r="E263">
        <v>1</v>
      </c>
      <c r="F263" t="s">
        <v>13</v>
      </c>
      <c r="G263" t="s">
        <v>14</v>
      </c>
      <c r="H263" t="s">
        <v>15</v>
      </c>
      <c r="I263">
        <v>1</v>
      </c>
      <c r="J263" t="s">
        <v>26</v>
      </c>
      <c r="K263" t="s">
        <v>17</v>
      </c>
      <c r="L263">
        <v>33</v>
      </c>
      <c r="M263" t="str" cm="1">
        <f t="array" ref="M263">_xlfn.IFS(
L263&gt;50,"Old Age",
L263&gt;=31,"Middle Age",
L263&lt;31,"Young Age"
)</f>
        <v>Middle Age</v>
      </c>
      <c r="N263" t="s">
        <v>15</v>
      </c>
      <c r="O263" t="str" cm="1">
        <f t="array" ref="O263">_xlfn.IFS(D263&gt;120000, "High Income", D263&gt;=80000, "Average Income", D263&lt;80000, "Low Income")</f>
        <v>Low Income</v>
      </c>
      <c r="P263">
        <f>IF(Table24[[#This Row],[Purchased Bike]]="Yes",1,0)</f>
        <v>1</v>
      </c>
    </row>
    <row r="264" spans="1:16" hidden="1" x14ac:dyDescent="0.25">
      <c r="A264">
        <v>28468</v>
      </c>
      <c r="B264" t="s">
        <v>34</v>
      </c>
      <c r="C264" t="s">
        <v>33</v>
      </c>
      <c r="D264" s="2">
        <v>10000</v>
      </c>
      <c r="E264">
        <v>2</v>
      </c>
      <c r="F264" t="s">
        <v>19</v>
      </c>
      <c r="G264" t="s">
        <v>25</v>
      </c>
      <c r="H264" t="s">
        <v>15</v>
      </c>
      <c r="I264">
        <v>0</v>
      </c>
      <c r="J264" t="s">
        <v>26</v>
      </c>
      <c r="K264" t="s">
        <v>17</v>
      </c>
      <c r="L264">
        <v>51</v>
      </c>
      <c r="M264" t="str" cm="1">
        <f t="array" ref="M264">_xlfn.IFS(
L264&gt;50,"Old Age",
L264&gt;=31,"Middle Age",
L264&lt;31,"Young Age"
)</f>
        <v>Old Age</v>
      </c>
      <c r="N264" t="s">
        <v>18</v>
      </c>
      <c r="O264" t="str" cm="1">
        <f t="array" ref="O264">_xlfn.IFS(D264&gt;120000, "High Income", D264&gt;=80000, "Average Income", D264&lt;80000, "Low Income")</f>
        <v>Low Income</v>
      </c>
      <c r="P264">
        <f>IF(Table24[[#This Row],[Purchased Bike]]="Yes",1,0)</f>
        <v>0</v>
      </c>
    </row>
    <row r="265" spans="1:16" hidden="1" x14ac:dyDescent="0.25">
      <c r="A265">
        <v>23419</v>
      </c>
      <c r="B265" t="s">
        <v>35</v>
      </c>
      <c r="C265" t="s">
        <v>33</v>
      </c>
      <c r="D265" s="2">
        <v>70000</v>
      </c>
      <c r="E265">
        <v>5</v>
      </c>
      <c r="F265" t="s">
        <v>13</v>
      </c>
      <c r="G265" t="s">
        <v>21</v>
      </c>
      <c r="H265" t="s">
        <v>15</v>
      </c>
      <c r="I265">
        <v>3</v>
      </c>
      <c r="J265" t="s">
        <v>30</v>
      </c>
      <c r="K265" t="s">
        <v>24</v>
      </c>
      <c r="L265">
        <v>39</v>
      </c>
      <c r="M265" t="str" cm="1">
        <f t="array" ref="M265">_xlfn.IFS(
L265&gt;50,"Old Age",
L265&gt;=31,"Middle Age",
L265&lt;31,"Young Age"
)</f>
        <v>Middle Age</v>
      </c>
      <c r="N265" t="s">
        <v>18</v>
      </c>
      <c r="O265" t="str" cm="1">
        <f t="array" ref="O265">_xlfn.IFS(D265&gt;120000, "High Income", D265&gt;=80000, "Average Income", D265&lt;80000, "Low Income")</f>
        <v>Low Income</v>
      </c>
      <c r="P265">
        <f>IF(Table24[[#This Row],[Purchased Bike]]="Yes",1,0)</f>
        <v>0</v>
      </c>
    </row>
    <row r="266" spans="1:16" x14ac:dyDescent="0.25">
      <c r="A266">
        <v>17964</v>
      </c>
      <c r="B266" t="s">
        <v>34</v>
      </c>
      <c r="C266" t="s">
        <v>34</v>
      </c>
      <c r="D266" s="2">
        <v>40000</v>
      </c>
      <c r="E266">
        <v>0</v>
      </c>
      <c r="F266" t="s">
        <v>31</v>
      </c>
      <c r="G266" t="s">
        <v>20</v>
      </c>
      <c r="H266" t="s">
        <v>15</v>
      </c>
      <c r="I266">
        <v>0</v>
      </c>
      <c r="J266" t="s">
        <v>16</v>
      </c>
      <c r="K266" t="s">
        <v>17</v>
      </c>
      <c r="L266">
        <v>37</v>
      </c>
      <c r="M266" t="str" cm="1">
        <f t="array" ref="M266">_xlfn.IFS(
L266&gt;50,"Old Age",
L266&gt;=31,"Middle Age",
L266&lt;31,"Young Age"
)</f>
        <v>Middle Age</v>
      </c>
      <c r="N266" t="s">
        <v>15</v>
      </c>
      <c r="O266" t="str" cm="1">
        <f t="array" ref="O266">_xlfn.IFS(D266&gt;120000, "High Income", D266&gt;=80000, "Average Income", D266&lt;80000, "Low Income")</f>
        <v>Low Income</v>
      </c>
      <c r="P266">
        <f>IF(Table24[[#This Row],[Purchased Bike]]="Yes",1,0)</f>
        <v>1</v>
      </c>
    </row>
    <row r="267" spans="1:16" hidden="1" x14ac:dyDescent="0.25">
      <c r="A267">
        <v>20919</v>
      </c>
      <c r="B267" t="s">
        <v>35</v>
      </c>
      <c r="C267" t="s">
        <v>33</v>
      </c>
      <c r="D267" s="2">
        <v>30000</v>
      </c>
      <c r="E267">
        <v>2</v>
      </c>
      <c r="F267" t="s">
        <v>19</v>
      </c>
      <c r="G267" t="s">
        <v>20</v>
      </c>
      <c r="H267" t="s">
        <v>15</v>
      </c>
      <c r="I267">
        <v>2</v>
      </c>
      <c r="J267" t="s">
        <v>16</v>
      </c>
      <c r="K267" t="s">
        <v>17</v>
      </c>
      <c r="L267">
        <v>42</v>
      </c>
      <c r="M267" t="str" cm="1">
        <f t="array" ref="M267">_xlfn.IFS(
L267&gt;50,"Old Age",
L267&gt;=31,"Middle Age",
L267&lt;31,"Young Age"
)</f>
        <v>Middle Age</v>
      </c>
      <c r="N267" t="s">
        <v>18</v>
      </c>
      <c r="O267" t="str" cm="1">
        <f t="array" ref="O267">_xlfn.IFS(D267&gt;120000, "High Income", D267&gt;=80000, "Average Income", D267&lt;80000, "Low Income")</f>
        <v>Low Income</v>
      </c>
      <c r="P267">
        <f>IF(Table24[[#This Row],[Purchased Bike]]="Yes",1,0)</f>
        <v>0</v>
      </c>
    </row>
    <row r="268" spans="1:16" hidden="1" x14ac:dyDescent="0.25">
      <c r="A268">
        <v>20927</v>
      </c>
      <c r="B268" t="s">
        <v>35</v>
      </c>
      <c r="C268" t="s">
        <v>33</v>
      </c>
      <c r="D268" s="2">
        <v>20000</v>
      </c>
      <c r="E268">
        <v>5</v>
      </c>
      <c r="F268" t="s">
        <v>27</v>
      </c>
      <c r="G268" t="s">
        <v>25</v>
      </c>
      <c r="H268" t="s">
        <v>15</v>
      </c>
      <c r="I268">
        <v>2</v>
      </c>
      <c r="J268" t="s">
        <v>16</v>
      </c>
      <c r="K268" t="s">
        <v>17</v>
      </c>
      <c r="L268">
        <v>27</v>
      </c>
      <c r="M268" t="str" cm="1">
        <f t="array" ref="M268">_xlfn.IFS(
L268&gt;50,"Old Age",
L268&gt;=31,"Middle Age",
L268&lt;31,"Young Age"
)</f>
        <v>Young Age</v>
      </c>
      <c r="N268" t="s">
        <v>18</v>
      </c>
      <c r="O268" t="str" cm="1">
        <f t="array" ref="O268">_xlfn.IFS(D268&gt;120000, "High Income", D268&gt;=80000, "Average Income", D268&lt;80000, "Low Income")</f>
        <v>Low Income</v>
      </c>
      <c r="P268">
        <f>IF(Table24[[#This Row],[Purchased Bike]]="Yes",1,0)</f>
        <v>0</v>
      </c>
    </row>
    <row r="269" spans="1:16" x14ac:dyDescent="0.25">
      <c r="A269">
        <v>13133</v>
      </c>
      <c r="B269" t="s">
        <v>35</v>
      </c>
      <c r="C269" t="s">
        <v>34</v>
      </c>
      <c r="D269" s="2">
        <v>100000</v>
      </c>
      <c r="E269">
        <v>5</v>
      </c>
      <c r="F269" t="s">
        <v>13</v>
      </c>
      <c r="G269" t="s">
        <v>21</v>
      </c>
      <c r="H269" t="s">
        <v>15</v>
      </c>
      <c r="I269">
        <v>1</v>
      </c>
      <c r="J269" t="s">
        <v>23</v>
      </c>
      <c r="K269" t="s">
        <v>24</v>
      </c>
      <c r="L269">
        <v>47</v>
      </c>
      <c r="M269" t="str" cm="1">
        <f t="array" ref="M269">_xlfn.IFS(
L269&gt;50,"Old Age",
L269&gt;=31,"Middle Age",
L269&lt;31,"Young Age"
)</f>
        <v>Middle Age</v>
      </c>
      <c r="N269" t="s">
        <v>15</v>
      </c>
      <c r="O269" t="str" cm="1">
        <f t="array" ref="O269">_xlfn.IFS(D269&gt;120000, "High Income", D269&gt;=80000, "Average Income", D269&lt;80000, "Low Income")</f>
        <v>Average Income</v>
      </c>
      <c r="P269">
        <f>IF(Table24[[#This Row],[Purchased Bike]]="Yes",1,0)</f>
        <v>1</v>
      </c>
    </row>
    <row r="270" spans="1:16" hidden="1" x14ac:dyDescent="0.25">
      <c r="A270">
        <v>19626</v>
      </c>
      <c r="B270" t="s">
        <v>34</v>
      </c>
      <c r="C270" t="s">
        <v>34</v>
      </c>
      <c r="D270" s="2">
        <v>70000</v>
      </c>
      <c r="E270">
        <v>5</v>
      </c>
      <c r="F270" t="s">
        <v>19</v>
      </c>
      <c r="G270" t="s">
        <v>14</v>
      </c>
      <c r="H270" t="s">
        <v>15</v>
      </c>
      <c r="I270">
        <v>3</v>
      </c>
      <c r="J270" t="s">
        <v>23</v>
      </c>
      <c r="K270" t="s">
        <v>24</v>
      </c>
      <c r="L270">
        <v>45</v>
      </c>
      <c r="M270" t="str" cm="1">
        <f t="array" ref="M270">_xlfn.IFS(
L270&gt;50,"Old Age",
L270&gt;=31,"Middle Age",
L270&lt;31,"Young Age"
)</f>
        <v>Middle Age</v>
      </c>
      <c r="N270" t="s">
        <v>18</v>
      </c>
      <c r="O270" t="str" cm="1">
        <f t="array" ref="O270">_xlfn.IFS(D270&gt;120000, "High Income", D270&gt;=80000, "Average Income", D270&lt;80000, "Low Income")</f>
        <v>Low Income</v>
      </c>
      <c r="P270">
        <f>IF(Table24[[#This Row],[Purchased Bike]]="Yes",1,0)</f>
        <v>0</v>
      </c>
    </row>
    <row r="271" spans="1:16" x14ac:dyDescent="0.25">
      <c r="A271">
        <v>21039</v>
      </c>
      <c r="B271" t="s">
        <v>35</v>
      </c>
      <c r="C271" t="s">
        <v>33</v>
      </c>
      <c r="D271" s="2">
        <v>50000</v>
      </c>
      <c r="E271">
        <v>0</v>
      </c>
      <c r="F271" t="s">
        <v>31</v>
      </c>
      <c r="G271" t="s">
        <v>14</v>
      </c>
      <c r="H271" t="s">
        <v>18</v>
      </c>
      <c r="I271">
        <v>0</v>
      </c>
      <c r="J271" t="s">
        <v>16</v>
      </c>
      <c r="K271" t="s">
        <v>17</v>
      </c>
      <c r="L271">
        <v>37</v>
      </c>
      <c r="M271" t="str" cm="1">
        <f t="array" ref="M271">_xlfn.IFS(
L271&gt;50,"Old Age",
L271&gt;=31,"Middle Age",
L271&lt;31,"Young Age"
)</f>
        <v>Middle Age</v>
      </c>
      <c r="N271" t="s">
        <v>15</v>
      </c>
      <c r="O271" t="str" cm="1">
        <f t="array" ref="O271">_xlfn.IFS(D271&gt;120000, "High Income", D271&gt;=80000, "Average Income", D271&lt;80000, "Low Income")</f>
        <v>Low Income</v>
      </c>
      <c r="P271">
        <f>IF(Table24[[#This Row],[Purchased Bike]]="Yes",1,0)</f>
        <v>1</v>
      </c>
    </row>
    <row r="272" spans="1:16" hidden="1" x14ac:dyDescent="0.25">
      <c r="A272">
        <v>12231</v>
      </c>
      <c r="B272" t="s">
        <v>35</v>
      </c>
      <c r="C272" t="s">
        <v>33</v>
      </c>
      <c r="D272" s="2">
        <v>10000</v>
      </c>
      <c r="E272">
        <v>2</v>
      </c>
      <c r="F272" t="s">
        <v>19</v>
      </c>
      <c r="G272" t="s">
        <v>25</v>
      </c>
      <c r="H272" t="s">
        <v>15</v>
      </c>
      <c r="I272">
        <v>0</v>
      </c>
      <c r="J272" t="s">
        <v>16</v>
      </c>
      <c r="K272" t="s">
        <v>17</v>
      </c>
      <c r="L272">
        <v>51</v>
      </c>
      <c r="M272" t="str" cm="1">
        <f t="array" ref="M272">_xlfn.IFS(
L272&gt;50,"Old Age",
L272&gt;=31,"Middle Age",
L272&lt;31,"Young Age"
)</f>
        <v>Old Age</v>
      </c>
      <c r="N272" t="s">
        <v>15</v>
      </c>
      <c r="O272" t="str" cm="1">
        <f t="array" ref="O272">_xlfn.IFS(D272&gt;120000, "High Income", D272&gt;=80000, "Average Income", D272&lt;80000, "Low Income")</f>
        <v>Low Income</v>
      </c>
      <c r="P272">
        <f>IF(Table24[[#This Row],[Purchased Bike]]="Yes",1,0)</f>
        <v>1</v>
      </c>
    </row>
    <row r="273" spans="1:16" hidden="1" x14ac:dyDescent="0.25">
      <c r="A273">
        <v>25665</v>
      </c>
      <c r="B273" t="s">
        <v>35</v>
      </c>
      <c r="C273" t="s">
        <v>33</v>
      </c>
      <c r="D273" s="2">
        <v>20000</v>
      </c>
      <c r="E273">
        <v>0</v>
      </c>
      <c r="F273" t="s">
        <v>27</v>
      </c>
      <c r="G273" t="s">
        <v>25</v>
      </c>
      <c r="H273" t="s">
        <v>18</v>
      </c>
      <c r="I273">
        <v>1</v>
      </c>
      <c r="J273" t="s">
        <v>26</v>
      </c>
      <c r="K273" t="s">
        <v>17</v>
      </c>
      <c r="L273">
        <v>28</v>
      </c>
      <c r="M273" t="str" cm="1">
        <f t="array" ref="M273">_xlfn.IFS(
L273&gt;50,"Old Age",
L273&gt;=31,"Middle Age",
L273&lt;31,"Young Age"
)</f>
        <v>Young Age</v>
      </c>
      <c r="N273" t="s">
        <v>18</v>
      </c>
      <c r="O273" t="str" cm="1">
        <f t="array" ref="O273">_xlfn.IFS(D273&gt;120000, "High Income", D273&gt;=80000, "Average Income", D273&lt;80000, "Low Income")</f>
        <v>Low Income</v>
      </c>
      <c r="P273">
        <f>IF(Table24[[#This Row],[Purchased Bike]]="Yes",1,0)</f>
        <v>0</v>
      </c>
    </row>
    <row r="274" spans="1:16" x14ac:dyDescent="0.25">
      <c r="A274">
        <v>24061</v>
      </c>
      <c r="B274" t="s">
        <v>34</v>
      </c>
      <c r="C274" t="s">
        <v>34</v>
      </c>
      <c r="D274" s="2">
        <v>10000</v>
      </c>
      <c r="E274">
        <v>4</v>
      </c>
      <c r="F274" t="s">
        <v>29</v>
      </c>
      <c r="G274" t="s">
        <v>25</v>
      </c>
      <c r="H274" t="s">
        <v>15</v>
      </c>
      <c r="I274">
        <v>1</v>
      </c>
      <c r="J274" t="s">
        <v>16</v>
      </c>
      <c r="K274" t="s">
        <v>17</v>
      </c>
      <c r="L274">
        <v>40</v>
      </c>
      <c r="M274" t="str" cm="1">
        <f t="array" ref="M274">_xlfn.IFS(
L274&gt;50,"Old Age",
L274&gt;=31,"Middle Age",
L274&lt;31,"Young Age"
)</f>
        <v>Middle Age</v>
      </c>
      <c r="N274" t="s">
        <v>15</v>
      </c>
      <c r="O274" t="str" cm="1">
        <f t="array" ref="O274">_xlfn.IFS(D274&gt;120000, "High Income", D274&gt;=80000, "Average Income", D274&lt;80000, "Low Income")</f>
        <v>Low Income</v>
      </c>
      <c r="P274">
        <f>IF(Table24[[#This Row],[Purchased Bike]]="Yes",1,0)</f>
        <v>1</v>
      </c>
    </row>
    <row r="275" spans="1:16" hidden="1" x14ac:dyDescent="0.25">
      <c r="A275">
        <v>26879</v>
      </c>
      <c r="B275" t="s">
        <v>35</v>
      </c>
      <c r="C275" t="s">
        <v>33</v>
      </c>
      <c r="D275" s="2">
        <v>20000</v>
      </c>
      <c r="E275">
        <v>0</v>
      </c>
      <c r="F275" t="s">
        <v>27</v>
      </c>
      <c r="G275" t="s">
        <v>25</v>
      </c>
      <c r="H275" t="s">
        <v>18</v>
      </c>
      <c r="I275">
        <v>1</v>
      </c>
      <c r="J275" t="s">
        <v>22</v>
      </c>
      <c r="K275" t="s">
        <v>17</v>
      </c>
      <c r="L275">
        <v>30</v>
      </c>
      <c r="M275" t="str" cm="1">
        <f t="array" ref="M275">_xlfn.IFS(
L275&gt;50,"Old Age",
L275&gt;=31,"Middle Age",
L275&lt;31,"Young Age"
)</f>
        <v>Young Age</v>
      </c>
      <c r="N275" t="s">
        <v>18</v>
      </c>
      <c r="O275" t="str" cm="1">
        <f t="array" ref="O275">_xlfn.IFS(D275&gt;120000, "High Income", D275&gt;=80000, "Average Income", D275&lt;80000, "Low Income")</f>
        <v>Low Income</v>
      </c>
      <c r="P275">
        <f>IF(Table24[[#This Row],[Purchased Bike]]="Yes",1,0)</f>
        <v>0</v>
      </c>
    </row>
    <row r="276" spans="1:16" x14ac:dyDescent="0.25">
      <c r="A276">
        <v>12284</v>
      </c>
      <c r="B276" t="s">
        <v>34</v>
      </c>
      <c r="C276" t="s">
        <v>33</v>
      </c>
      <c r="D276" s="2">
        <v>30000</v>
      </c>
      <c r="E276">
        <v>0</v>
      </c>
      <c r="F276" t="s">
        <v>13</v>
      </c>
      <c r="G276" t="s">
        <v>20</v>
      </c>
      <c r="H276" t="s">
        <v>18</v>
      </c>
      <c r="I276">
        <v>0</v>
      </c>
      <c r="J276" t="s">
        <v>16</v>
      </c>
      <c r="K276" t="s">
        <v>17</v>
      </c>
      <c r="L276">
        <v>36</v>
      </c>
      <c r="M276" t="str" cm="1">
        <f t="array" ref="M276">_xlfn.IFS(
L276&gt;50,"Old Age",
L276&gt;=31,"Middle Age",
L276&lt;31,"Young Age"
)</f>
        <v>Middle Age</v>
      </c>
      <c r="N276" t="s">
        <v>15</v>
      </c>
      <c r="O276" t="str" cm="1">
        <f t="array" ref="O276">_xlfn.IFS(D276&gt;120000, "High Income", D276&gt;=80000, "Average Income", D276&lt;80000, "Low Income")</f>
        <v>Low Income</v>
      </c>
      <c r="P276">
        <f>IF(Table24[[#This Row],[Purchased Bike]]="Yes",1,0)</f>
        <v>1</v>
      </c>
    </row>
    <row r="277" spans="1:16" x14ac:dyDescent="0.25">
      <c r="A277">
        <v>26654</v>
      </c>
      <c r="B277" t="s">
        <v>34</v>
      </c>
      <c r="C277" t="s">
        <v>33</v>
      </c>
      <c r="D277" s="2">
        <v>90000</v>
      </c>
      <c r="E277">
        <v>1</v>
      </c>
      <c r="F277" t="s">
        <v>31</v>
      </c>
      <c r="G277" t="s">
        <v>28</v>
      </c>
      <c r="H277" t="s">
        <v>15</v>
      </c>
      <c r="I277">
        <v>0</v>
      </c>
      <c r="J277" t="s">
        <v>16</v>
      </c>
      <c r="K277" t="s">
        <v>24</v>
      </c>
      <c r="L277">
        <v>37</v>
      </c>
      <c r="M277" t="str" cm="1">
        <f t="array" ref="M277">_xlfn.IFS(
L277&gt;50,"Old Age",
L277&gt;=31,"Middle Age",
L277&lt;31,"Young Age"
)</f>
        <v>Middle Age</v>
      </c>
      <c r="N277" t="s">
        <v>15</v>
      </c>
      <c r="O277" t="str" cm="1">
        <f t="array" ref="O277">_xlfn.IFS(D277&gt;120000, "High Income", D277&gt;=80000, "Average Income", D277&lt;80000, "Low Income")</f>
        <v>Average Income</v>
      </c>
      <c r="P277">
        <f>IF(Table24[[#This Row],[Purchased Bike]]="Yes",1,0)</f>
        <v>1</v>
      </c>
    </row>
    <row r="278" spans="1:16" hidden="1" x14ac:dyDescent="0.25">
      <c r="A278">
        <v>14545</v>
      </c>
      <c r="B278" t="s">
        <v>34</v>
      </c>
      <c r="C278" t="s">
        <v>33</v>
      </c>
      <c r="D278" s="2">
        <v>10000</v>
      </c>
      <c r="E278">
        <v>2</v>
      </c>
      <c r="F278" t="s">
        <v>19</v>
      </c>
      <c r="G278" t="s">
        <v>25</v>
      </c>
      <c r="H278" t="s">
        <v>15</v>
      </c>
      <c r="I278">
        <v>0</v>
      </c>
      <c r="J278" t="s">
        <v>26</v>
      </c>
      <c r="K278" t="s">
        <v>17</v>
      </c>
      <c r="L278">
        <v>49</v>
      </c>
      <c r="M278" t="str" cm="1">
        <f t="array" ref="M278">_xlfn.IFS(
L278&gt;50,"Old Age",
L278&gt;=31,"Middle Age",
L278&lt;31,"Young Age"
)</f>
        <v>Middle Age</v>
      </c>
      <c r="N278" t="s">
        <v>18</v>
      </c>
      <c r="O278" t="str" cm="1">
        <f t="array" ref="O278">_xlfn.IFS(D278&gt;120000, "High Income", D278&gt;=80000, "Average Income", D278&lt;80000, "Low Income")</f>
        <v>Low Income</v>
      </c>
      <c r="P278">
        <f>IF(Table24[[#This Row],[Purchased Bike]]="Yes",1,0)</f>
        <v>0</v>
      </c>
    </row>
    <row r="279" spans="1:16" x14ac:dyDescent="0.25">
      <c r="A279">
        <v>24201</v>
      </c>
      <c r="B279" t="s">
        <v>34</v>
      </c>
      <c r="C279" t="s">
        <v>33</v>
      </c>
      <c r="D279" s="2">
        <v>10000</v>
      </c>
      <c r="E279">
        <v>2</v>
      </c>
      <c r="F279" t="s">
        <v>27</v>
      </c>
      <c r="G279" t="s">
        <v>25</v>
      </c>
      <c r="H279" t="s">
        <v>15</v>
      </c>
      <c r="I279">
        <v>0</v>
      </c>
      <c r="J279" t="s">
        <v>16</v>
      </c>
      <c r="K279" t="s">
        <v>17</v>
      </c>
      <c r="L279">
        <v>37</v>
      </c>
      <c r="M279" t="str" cm="1">
        <f t="array" ref="M279">_xlfn.IFS(
L279&gt;50,"Old Age",
L279&gt;=31,"Middle Age",
L279&lt;31,"Young Age"
)</f>
        <v>Middle Age</v>
      </c>
      <c r="N279" t="s">
        <v>15</v>
      </c>
      <c r="O279" t="str" cm="1">
        <f t="array" ref="O279">_xlfn.IFS(D279&gt;120000, "High Income", D279&gt;=80000, "Average Income", D279&lt;80000, "Low Income")</f>
        <v>Low Income</v>
      </c>
      <c r="P279">
        <f>IF(Table24[[#This Row],[Purchased Bike]]="Yes",1,0)</f>
        <v>1</v>
      </c>
    </row>
    <row r="280" spans="1:16" x14ac:dyDescent="0.25">
      <c r="A280">
        <v>20625</v>
      </c>
      <c r="B280" t="s">
        <v>34</v>
      </c>
      <c r="C280" t="s">
        <v>34</v>
      </c>
      <c r="D280" s="2">
        <v>100000</v>
      </c>
      <c r="E280">
        <v>0</v>
      </c>
      <c r="F280" t="s">
        <v>27</v>
      </c>
      <c r="G280" t="s">
        <v>28</v>
      </c>
      <c r="H280" t="s">
        <v>15</v>
      </c>
      <c r="I280">
        <v>3</v>
      </c>
      <c r="J280" t="s">
        <v>30</v>
      </c>
      <c r="K280" t="s">
        <v>24</v>
      </c>
      <c r="L280">
        <v>35</v>
      </c>
      <c r="M280" t="str" cm="1">
        <f t="array" ref="M280">_xlfn.IFS(
L280&gt;50,"Old Age",
L280&gt;=31,"Middle Age",
L280&lt;31,"Young Age"
)</f>
        <v>Middle Age</v>
      </c>
      <c r="N280" t="s">
        <v>15</v>
      </c>
      <c r="O280" t="str" cm="1">
        <f t="array" ref="O280">_xlfn.IFS(D280&gt;120000, "High Income", D280&gt;=80000, "Average Income", D280&lt;80000, "Low Income")</f>
        <v>Average Income</v>
      </c>
      <c r="P280">
        <f>IF(Table24[[#This Row],[Purchased Bike]]="Yes",1,0)</f>
        <v>1</v>
      </c>
    </row>
    <row r="281" spans="1:16" x14ac:dyDescent="0.25">
      <c r="A281">
        <v>16390</v>
      </c>
      <c r="B281" t="s">
        <v>35</v>
      </c>
      <c r="C281" t="s">
        <v>34</v>
      </c>
      <c r="D281" s="2">
        <v>30000</v>
      </c>
      <c r="E281">
        <v>1</v>
      </c>
      <c r="F281" t="s">
        <v>13</v>
      </c>
      <c r="G281" t="s">
        <v>20</v>
      </c>
      <c r="H281" t="s">
        <v>18</v>
      </c>
      <c r="I281">
        <v>0</v>
      </c>
      <c r="J281" t="s">
        <v>16</v>
      </c>
      <c r="K281" t="s">
        <v>17</v>
      </c>
      <c r="L281">
        <v>38</v>
      </c>
      <c r="M281" t="str" cm="1">
        <f t="array" ref="M281">_xlfn.IFS(
L281&gt;50,"Old Age",
L281&gt;=31,"Middle Age",
L281&lt;31,"Young Age"
)</f>
        <v>Middle Age</v>
      </c>
      <c r="N281" t="s">
        <v>15</v>
      </c>
      <c r="O281" t="str" cm="1">
        <f t="array" ref="O281">_xlfn.IFS(D281&gt;120000, "High Income", D281&gt;=80000, "Average Income", D281&lt;80000, "Low Income")</f>
        <v>Low Income</v>
      </c>
      <c r="P281">
        <f>IF(Table24[[#This Row],[Purchased Bike]]="Yes",1,0)</f>
        <v>1</v>
      </c>
    </row>
    <row r="282" spans="1:16" hidden="1" x14ac:dyDescent="0.25">
      <c r="A282">
        <v>14804</v>
      </c>
      <c r="B282" t="s">
        <v>35</v>
      </c>
      <c r="C282" t="s">
        <v>33</v>
      </c>
      <c r="D282" s="2">
        <v>10000</v>
      </c>
      <c r="E282">
        <v>3</v>
      </c>
      <c r="F282" t="s">
        <v>29</v>
      </c>
      <c r="G282" t="s">
        <v>25</v>
      </c>
      <c r="H282" t="s">
        <v>15</v>
      </c>
      <c r="I282">
        <v>2</v>
      </c>
      <c r="J282" t="s">
        <v>16</v>
      </c>
      <c r="K282" t="s">
        <v>17</v>
      </c>
      <c r="L282">
        <v>43</v>
      </c>
      <c r="M282" t="str" cm="1">
        <f t="array" ref="M282">_xlfn.IFS(
L282&gt;50,"Old Age",
L282&gt;=31,"Middle Age",
L282&lt;31,"Young Age"
)</f>
        <v>Middle Age</v>
      </c>
      <c r="N282" t="s">
        <v>18</v>
      </c>
      <c r="O282" t="str" cm="1">
        <f t="array" ref="O282">_xlfn.IFS(D282&gt;120000, "High Income", D282&gt;=80000, "Average Income", D282&lt;80000, "Low Income")</f>
        <v>Low Income</v>
      </c>
      <c r="P282">
        <f>IF(Table24[[#This Row],[Purchased Bike]]="Yes",1,0)</f>
        <v>0</v>
      </c>
    </row>
    <row r="283" spans="1:16" hidden="1" x14ac:dyDescent="0.25">
      <c r="A283">
        <v>12629</v>
      </c>
      <c r="B283" t="s">
        <v>35</v>
      </c>
      <c r="C283" t="s">
        <v>34</v>
      </c>
      <c r="D283" s="2">
        <v>20000</v>
      </c>
      <c r="E283">
        <v>1</v>
      </c>
      <c r="F283" t="s">
        <v>19</v>
      </c>
      <c r="G283" t="s">
        <v>25</v>
      </c>
      <c r="H283" t="s">
        <v>18</v>
      </c>
      <c r="I283">
        <v>0</v>
      </c>
      <c r="J283" t="s">
        <v>16</v>
      </c>
      <c r="K283" t="s">
        <v>17</v>
      </c>
      <c r="L283">
        <v>37</v>
      </c>
      <c r="M283" t="str" cm="1">
        <f t="array" ref="M283">_xlfn.IFS(
L283&gt;50,"Old Age",
L283&gt;=31,"Middle Age",
L283&lt;31,"Young Age"
)</f>
        <v>Middle Age</v>
      </c>
      <c r="N283" t="s">
        <v>18</v>
      </c>
      <c r="O283" t="str" cm="1">
        <f t="array" ref="O283">_xlfn.IFS(D283&gt;120000, "High Income", D283&gt;=80000, "Average Income", D283&lt;80000, "Low Income")</f>
        <v>Low Income</v>
      </c>
      <c r="P283">
        <f>IF(Table24[[#This Row],[Purchased Bike]]="Yes",1,0)</f>
        <v>0</v>
      </c>
    </row>
    <row r="284" spans="1:16" hidden="1" x14ac:dyDescent="0.25">
      <c r="A284">
        <v>14696</v>
      </c>
      <c r="B284" t="s">
        <v>35</v>
      </c>
      <c r="C284" t="s">
        <v>34</v>
      </c>
      <c r="D284" s="2">
        <v>10000</v>
      </c>
      <c r="E284">
        <v>0</v>
      </c>
      <c r="F284" t="s">
        <v>29</v>
      </c>
      <c r="G284" t="s">
        <v>25</v>
      </c>
      <c r="H284" t="s">
        <v>18</v>
      </c>
      <c r="I284">
        <v>2</v>
      </c>
      <c r="J284" t="s">
        <v>16</v>
      </c>
      <c r="K284" t="s">
        <v>17</v>
      </c>
      <c r="L284">
        <v>34</v>
      </c>
      <c r="M284" t="str" cm="1">
        <f t="array" ref="M284">_xlfn.IFS(
L284&gt;50,"Old Age",
L284&gt;=31,"Middle Age",
L284&lt;31,"Young Age"
)</f>
        <v>Middle Age</v>
      </c>
      <c r="N284" t="s">
        <v>18</v>
      </c>
      <c r="O284" t="str" cm="1">
        <f t="array" ref="O284">_xlfn.IFS(D284&gt;120000, "High Income", D284&gt;=80000, "Average Income", D284&lt;80000, "Low Income")</f>
        <v>Low Income</v>
      </c>
      <c r="P284">
        <f>IF(Table24[[#This Row],[Purchased Bike]]="Yes",1,0)</f>
        <v>0</v>
      </c>
    </row>
    <row r="285" spans="1:16" hidden="1" x14ac:dyDescent="0.25">
      <c r="A285">
        <v>22005</v>
      </c>
      <c r="B285" t="s">
        <v>34</v>
      </c>
      <c r="C285" t="s">
        <v>33</v>
      </c>
      <c r="D285" s="2">
        <v>70000</v>
      </c>
      <c r="E285">
        <v>5</v>
      </c>
      <c r="F285" t="s">
        <v>19</v>
      </c>
      <c r="G285" t="s">
        <v>14</v>
      </c>
      <c r="H285" t="s">
        <v>18</v>
      </c>
      <c r="I285">
        <v>3</v>
      </c>
      <c r="J285" t="s">
        <v>23</v>
      </c>
      <c r="K285" t="s">
        <v>24</v>
      </c>
      <c r="L285">
        <v>46</v>
      </c>
      <c r="M285" t="str" cm="1">
        <f t="array" ref="M285">_xlfn.IFS(
L285&gt;50,"Old Age",
L285&gt;=31,"Middle Age",
L285&lt;31,"Young Age"
)</f>
        <v>Middle Age</v>
      </c>
      <c r="N285" t="s">
        <v>18</v>
      </c>
      <c r="O285" t="str" cm="1">
        <f t="array" ref="O285">_xlfn.IFS(D285&gt;120000, "High Income", D285&gt;=80000, "Average Income", D285&lt;80000, "Low Income")</f>
        <v>Low Income</v>
      </c>
      <c r="P285">
        <f>IF(Table24[[#This Row],[Purchased Bike]]="Yes",1,0)</f>
        <v>0</v>
      </c>
    </row>
    <row r="286" spans="1:16" hidden="1" x14ac:dyDescent="0.25">
      <c r="A286">
        <v>14544</v>
      </c>
      <c r="B286" t="s">
        <v>35</v>
      </c>
      <c r="C286" t="s">
        <v>34</v>
      </c>
      <c r="D286" s="2">
        <v>10000</v>
      </c>
      <c r="E286">
        <v>1</v>
      </c>
      <c r="F286" t="s">
        <v>19</v>
      </c>
      <c r="G286" t="s">
        <v>25</v>
      </c>
      <c r="H286" t="s">
        <v>15</v>
      </c>
      <c r="I286">
        <v>0</v>
      </c>
      <c r="J286" t="s">
        <v>16</v>
      </c>
      <c r="K286" t="s">
        <v>17</v>
      </c>
      <c r="L286">
        <v>49</v>
      </c>
      <c r="M286" t="str" cm="1">
        <f t="array" ref="M286">_xlfn.IFS(
L286&gt;50,"Old Age",
L286&gt;=31,"Middle Age",
L286&lt;31,"Young Age"
)</f>
        <v>Middle Age</v>
      </c>
      <c r="N286" t="s">
        <v>18</v>
      </c>
      <c r="O286" t="str" cm="1">
        <f t="array" ref="O286">_xlfn.IFS(D286&gt;120000, "High Income", D286&gt;=80000, "Average Income", D286&lt;80000, "Low Income")</f>
        <v>Low Income</v>
      </c>
      <c r="P286">
        <f>IF(Table24[[#This Row],[Purchased Bike]]="Yes",1,0)</f>
        <v>0</v>
      </c>
    </row>
    <row r="287" spans="1:16" hidden="1" x14ac:dyDescent="0.25">
      <c r="A287">
        <v>14312</v>
      </c>
      <c r="B287" t="s">
        <v>34</v>
      </c>
      <c r="C287" t="s">
        <v>33</v>
      </c>
      <c r="D287" s="2">
        <v>60000</v>
      </c>
      <c r="E287">
        <v>1</v>
      </c>
      <c r="F287" t="s">
        <v>19</v>
      </c>
      <c r="G287" t="s">
        <v>14</v>
      </c>
      <c r="H287" t="s">
        <v>15</v>
      </c>
      <c r="I287">
        <v>1</v>
      </c>
      <c r="J287" t="s">
        <v>23</v>
      </c>
      <c r="K287" t="s">
        <v>24</v>
      </c>
      <c r="L287">
        <v>45</v>
      </c>
      <c r="M287" t="str" cm="1">
        <f t="array" ref="M287">_xlfn.IFS(
L287&gt;50,"Old Age",
L287&gt;=31,"Middle Age",
L287&lt;31,"Young Age"
)</f>
        <v>Middle Age</v>
      </c>
      <c r="N287" t="s">
        <v>18</v>
      </c>
      <c r="O287" t="str" cm="1">
        <f t="array" ref="O287">_xlfn.IFS(D287&gt;120000, "High Income", D287&gt;=80000, "Average Income", D287&lt;80000, "Low Income")</f>
        <v>Low Income</v>
      </c>
      <c r="P287">
        <f>IF(Table24[[#This Row],[Purchased Bike]]="Yes",1,0)</f>
        <v>0</v>
      </c>
    </row>
    <row r="288" spans="1:16" hidden="1" x14ac:dyDescent="0.25">
      <c r="A288">
        <v>29120</v>
      </c>
      <c r="B288" t="s">
        <v>35</v>
      </c>
      <c r="C288" t="s">
        <v>33</v>
      </c>
      <c r="D288" s="2">
        <v>100000</v>
      </c>
      <c r="E288">
        <v>1</v>
      </c>
      <c r="F288" t="s">
        <v>13</v>
      </c>
      <c r="G288" t="s">
        <v>28</v>
      </c>
      <c r="H288" t="s">
        <v>15</v>
      </c>
      <c r="I288">
        <v>4</v>
      </c>
      <c r="J288" t="s">
        <v>22</v>
      </c>
      <c r="K288" t="s">
        <v>24</v>
      </c>
      <c r="L288">
        <v>48</v>
      </c>
      <c r="M288" t="str" cm="1">
        <f t="array" ref="M288">_xlfn.IFS(
L288&gt;50,"Old Age",
L288&gt;=31,"Middle Age",
L288&lt;31,"Young Age"
)</f>
        <v>Middle Age</v>
      </c>
      <c r="N288" t="s">
        <v>18</v>
      </c>
      <c r="O288" t="str" cm="1">
        <f t="array" ref="O288">_xlfn.IFS(D288&gt;120000, "High Income", D288&gt;=80000, "Average Income", D288&lt;80000, "Low Income")</f>
        <v>Average Income</v>
      </c>
      <c r="P288">
        <f>IF(Table24[[#This Row],[Purchased Bike]]="Yes",1,0)</f>
        <v>0</v>
      </c>
    </row>
    <row r="289" spans="1:16" x14ac:dyDescent="0.25">
      <c r="A289">
        <v>24187</v>
      </c>
      <c r="B289" t="s">
        <v>35</v>
      </c>
      <c r="C289" t="s">
        <v>33</v>
      </c>
      <c r="D289" s="2">
        <v>30000</v>
      </c>
      <c r="E289">
        <v>3</v>
      </c>
      <c r="F289" t="s">
        <v>31</v>
      </c>
      <c r="G289" t="s">
        <v>20</v>
      </c>
      <c r="H289" t="s">
        <v>18</v>
      </c>
      <c r="I289">
        <v>0</v>
      </c>
      <c r="J289" t="s">
        <v>16</v>
      </c>
      <c r="K289" t="s">
        <v>17</v>
      </c>
      <c r="L289">
        <v>46</v>
      </c>
      <c r="M289" t="str" cm="1">
        <f t="array" ref="M289">_xlfn.IFS(
L289&gt;50,"Old Age",
L289&gt;=31,"Middle Age",
L289&lt;31,"Young Age"
)</f>
        <v>Middle Age</v>
      </c>
      <c r="N289" t="s">
        <v>15</v>
      </c>
      <c r="O289" t="str" cm="1">
        <f t="array" ref="O289">_xlfn.IFS(D289&gt;120000, "High Income", D289&gt;=80000, "Average Income", D289&lt;80000, "Low Income")</f>
        <v>Low Income</v>
      </c>
      <c r="P289">
        <f>IF(Table24[[#This Row],[Purchased Bike]]="Yes",1,0)</f>
        <v>1</v>
      </c>
    </row>
    <row r="290" spans="1:16" hidden="1" x14ac:dyDescent="0.25">
      <c r="A290">
        <v>15758</v>
      </c>
      <c r="B290" t="s">
        <v>34</v>
      </c>
      <c r="C290" t="s">
        <v>34</v>
      </c>
      <c r="D290" s="2">
        <v>130000</v>
      </c>
      <c r="E290">
        <v>0</v>
      </c>
      <c r="F290" t="s">
        <v>31</v>
      </c>
      <c r="G290" t="s">
        <v>28</v>
      </c>
      <c r="H290" t="s">
        <v>15</v>
      </c>
      <c r="I290">
        <v>0</v>
      </c>
      <c r="J290" t="s">
        <v>23</v>
      </c>
      <c r="K290" t="s">
        <v>24</v>
      </c>
      <c r="L290">
        <v>48</v>
      </c>
      <c r="M290" t="str" cm="1">
        <f t="array" ref="M290">_xlfn.IFS(
L290&gt;50,"Old Age",
L290&gt;=31,"Middle Age",
L290&lt;31,"Young Age"
)</f>
        <v>Middle Age</v>
      </c>
      <c r="N290" t="s">
        <v>18</v>
      </c>
      <c r="O290" t="str" cm="1">
        <f t="array" ref="O290">_xlfn.IFS(D290&gt;120000, "High Income", D290&gt;=80000, "Average Income", D290&lt;80000, "Low Income")</f>
        <v>High Income</v>
      </c>
      <c r="P290">
        <f>IF(Table24[[#This Row],[Purchased Bike]]="Yes",1,0)</f>
        <v>0</v>
      </c>
    </row>
    <row r="291" spans="1:16" hidden="1" x14ac:dyDescent="0.25">
      <c r="A291">
        <v>29094</v>
      </c>
      <c r="B291" t="s">
        <v>34</v>
      </c>
      <c r="C291" t="s">
        <v>34</v>
      </c>
      <c r="D291" s="2">
        <v>30000</v>
      </c>
      <c r="E291">
        <v>3</v>
      </c>
      <c r="F291" t="s">
        <v>27</v>
      </c>
      <c r="G291" t="s">
        <v>14</v>
      </c>
      <c r="H291" t="s">
        <v>15</v>
      </c>
      <c r="I291">
        <v>2</v>
      </c>
      <c r="J291" t="s">
        <v>23</v>
      </c>
      <c r="K291" t="s">
        <v>24</v>
      </c>
      <c r="L291">
        <v>54</v>
      </c>
      <c r="M291" t="str" cm="1">
        <f t="array" ref="M291">_xlfn.IFS(
L291&gt;50,"Old Age",
L291&gt;=31,"Middle Age",
L291&lt;31,"Young Age"
)</f>
        <v>Old Age</v>
      </c>
      <c r="N291" t="s">
        <v>15</v>
      </c>
      <c r="O291" t="str" cm="1">
        <f t="array" ref="O291">_xlfn.IFS(D291&gt;120000, "High Income", D291&gt;=80000, "Average Income", D291&lt;80000, "Low Income")</f>
        <v>Low Income</v>
      </c>
      <c r="P291">
        <f>IF(Table24[[#This Row],[Purchased Bike]]="Yes",1,0)</f>
        <v>1</v>
      </c>
    </row>
    <row r="292" spans="1:16" x14ac:dyDescent="0.25">
      <c r="A292">
        <v>28319</v>
      </c>
      <c r="B292" t="s">
        <v>35</v>
      </c>
      <c r="C292" t="s">
        <v>33</v>
      </c>
      <c r="D292" s="2">
        <v>60000</v>
      </c>
      <c r="E292">
        <v>1</v>
      </c>
      <c r="F292" t="s">
        <v>19</v>
      </c>
      <c r="G292" t="s">
        <v>14</v>
      </c>
      <c r="H292" t="s">
        <v>18</v>
      </c>
      <c r="I292">
        <v>1</v>
      </c>
      <c r="J292" t="s">
        <v>16</v>
      </c>
      <c r="K292" t="s">
        <v>24</v>
      </c>
      <c r="L292">
        <v>46</v>
      </c>
      <c r="M292" t="str" cm="1">
        <f t="array" ref="M292">_xlfn.IFS(
L292&gt;50,"Old Age",
L292&gt;=31,"Middle Age",
L292&lt;31,"Young Age"
)</f>
        <v>Middle Age</v>
      </c>
      <c r="N292" t="s">
        <v>15</v>
      </c>
      <c r="O292" t="str" cm="1">
        <f t="array" ref="O292">_xlfn.IFS(D292&gt;120000, "High Income", D292&gt;=80000, "Average Income", D292&lt;80000, "Low Income")</f>
        <v>Low Income</v>
      </c>
      <c r="P292">
        <f>IF(Table24[[#This Row],[Purchased Bike]]="Yes",1,0)</f>
        <v>1</v>
      </c>
    </row>
    <row r="293" spans="1:16" x14ac:dyDescent="0.25">
      <c r="A293">
        <v>16406</v>
      </c>
      <c r="B293" t="s">
        <v>34</v>
      </c>
      <c r="C293" t="s">
        <v>34</v>
      </c>
      <c r="D293" s="2">
        <v>40000</v>
      </c>
      <c r="E293">
        <v>0</v>
      </c>
      <c r="F293" t="s">
        <v>13</v>
      </c>
      <c r="G293" t="s">
        <v>20</v>
      </c>
      <c r="H293" t="s">
        <v>18</v>
      </c>
      <c r="I293">
        <v>0</v>
      </c>
      <c r="J293" t="s">
        <v>16</v>
      </c>
      <c r="K293" t="s">
        <v>17</v>
      </c>
      <c r="L293">
        <v>38</v>
      </c>
      <c r="M293" t="str" cm="1">
        <f t="array" ref="M293">_xlfn.IFS(
L293&gt;50,"Old Age",
L293&gt;=31,"Middle Age",
L293&lt;31,"Young Age"
)</f>
        <v>Middle Age</v>
      </c>
      <c r="N293" t="s">
        <v>15</v>
      </c>
      <c r="O293" t="str" cm="1">
        <f t="array" ref="O293">_xlfn.IFS(D293&gt;120000, "High Income", D293&gt;=80000, "Average Income", D293&lt;80000, "Low Income")</f>
        <v>Low Income</v>
      </c>
      <c r="P293">
        <f>IF(Table24[[#This Row],[Purchased Bike]]="Yes",1,0)</f>
        <v>1</v>
      </c>
    </row>
    <row r="294" spans="1:16" x14ac:dyDescent="0.25">
      <c r="A294">
        <v>20923</v>
      </c>
      <c r="B294" t="s">
        <v>34</v>
      </c>
      <c r="C294" t="s">
        <v>33</v>
      </c>
      <c r="D294" s="2">
        <v>40000</v>
      </c>
      <c r="E294">
        <v>1</v>
      </c>
      <c r="F294" t="s">
        <v>13</v>
      </c>
      <c r="G294" t="s">
        <v>14</v>
      </c>
      <c r="H294" t="s">
        <v>15</v>
      </c>
      <c r="I294">
        <v>0</v>
      </c>
      <c r="J294" t="s">
        <v>16</v>
      </c>
      <c r="K294" t="s">
        <v>17</v>
      </c>
      <c r="L294">
        <v>42</v>
      </c>
      <c r="M294" t="str" cm="1">
        <f t="array" ref="M294">_xlfn.IFS(
L294&gt;50,"Old Age",
L294&gt;=31,"Middle Age",
L294&lt;31,"Young Age"
)</f>
        <v>Middle Age</v>
      </c>
      <c r="N294" t="s">
        <v>15</v>
      </c>
      <c r="O294" t="str" cm="1">
        <f t="array" ref="O294">_xlfn.IFS(D294&gt;120000, "High Income", D294&gt;=80000, "Average Income", D294&lt;80000, "Low Income")</f>
        <v>Low Income</v>
      </c>
      <c r="P294">
        <f>IF(Table24[[#This Row],[Purchased Bike]]="Yes",1,0)</f>
        <v>1</v>
      </c>
    </row>
    <row r="295" spans="1:16" x14ac:dyDescent="0.25">
      <c r="A295">
        <v>11378</v>
      </c>
      <c r="B295" t="s">
        <v>35</v>
      </c>
      <c r="C295" t="s">
        <v>33</v>
      </c>
      <c r="D295" s="2">
        <v>10000</v>
      </c>
      <c r="E295">
        <v>1</v>
      </c>
      <c r="F295" t="s">
        <v>27</v>
      </c>
      <c r="G295" t="s">
        <v>25</v>
      </c>
      <c r="H295" t="s">
        <v>18</v>
      </c>
      <c r="I295">
        <v>1</v>
      </c>
      <c r="J295" t="s">
        <v>22</v>
      </c>
      <c r="K295" t="s">
        <v>17</v>
      </c>
      <c r="L295">
        <v>46</v>
      </c>
      <c r="M295" t="str" cm="1">
        <f t="array" ref="M295">_xlfn.IFS(
L295&gt;50,"Old Age",
L295&gt;=31,"Middle Age",
L295&lt;31,"Young Age"
)</f>
        <v>Middle Age</v>
      </c>
      <c r="N295" t="s">
        <v>15</v>
      </c>
      <c r="O295" t="str" cm="1">
        <f t="array" ref="O295">_xlfn.IFS(D295&gt;120000, "High Income", D295&gt;=80000, "Average Income", D295&lt;80000, "Low Income")</f>
        <v>Low Income</v>
      </c>
      <c r="P295">
        <f>IF(Table24[[#This Row],[Purchased Bike]]="Yes",1,0)</f>
        <v>1</v>
      </c>
    </row>
    <row r="296" spans="1:16" x14ac:dyDescent="0.25">
      <c r="A296">
        <v>20851</v>
      </c>
      <c r="B296" t="s">
        <v>35</v>
      </c>
      <c r="C296" t="s">
        <v>34</v>
      </c>
      <c r="D296" s="2">
        <v>20000</v>
      </c>
      <c r="E296">
        <v>0</v>
      </c>
      <c r="F296" t="s">
        <v>19</v>
      </c>
      <c r="G296" t="s">
        <v>25</v>
      </c>
      <c r="H296" t="s">
        <v>18</v>
      </c>
      <c r="I296">
        <v>1</v>
      </c>
      <c r="J296" t="s">
        <v>22</v>
      </c>
      <c r="K296" t="s">
        <v>17</v>
      </c>
      <c r="L296">
        <v>36</v>
      </c>
      <c r="M296" t="str" cm="1">
        <f t="array" ref="M296">_xlfn.IFS(
L296&gt;50,"Old Age",
L296&gt;=31,"Middle Age",
L296&lt;31,"Young Age"
)</f>
        <v>Middle Age</v>
      </c>
      <c r="N296" t="s">
        <v>15</v>
      </c>
      <c r="O296" t="str" cm="1">
        <f t="array" ref="O296">_xlfn.IFS(D296&gt;120000, "High Income", D296&gt;=80000, "Average Income", D296&lt;80000, "Low Income")</f>
        <v>Low Income</v>
      </c>
      <c r="P296">
        <f>IF(Table24[[#This Row],[Purchased Bike]]="Yes",1,0)</f>
        <v>1</v>
      </c>
    </row>
    <row r="297" spans="1:16" x14ac:dyDescent="0.25">
      <c r="A297">
        <v>21557</v>
      </c>
      <c r="B297" t="s">
        <v>35</v>
      </c>
      <c r="C297" t="s">
        <v>33</v>
      </c>
      <c r="D297" s="2">
        <v>110000</v>
      </c>
      <c r="E297">
        <v>0</v>
      </c>
      <c r="F297" t="s">
        <v>19</v>
      </c>
      <c r="G297" t="s">
        <v>28</v>
      </c>
      <c r="H297" t="s">
        <v>15</v>
      </c>
      <c r="I297">
        <v>3</v>
      </c>
      <c r="J297" t="s">
        <v>30</v>
      </c>
      <c r="K297" t="s">
        <v>24</v>
      </c>
      <c r="L297">
        <v>32</v>
      </c>
      <c r="M297" t="str" cm="1">
        <f t="array" ref="M297">_xlfn.IFS(
L297&gt;50,"Old Age",
L297&gt;=31,"Middle Age",
L297&lt;31,"Young Age"
)</f>
        <v>Middle Age</v>
      </c>
      <c r="N297" t="s">
        <v>15</v>
      </c>
      <c r="O297" t="str" cm="1">
        <f t="array" ref="O297">_xlfn.IFS(D297&gt;120000, "High Income", D297&gt;=80000, "Average Income", D297&lt;80000, "Low Income")</f>
        <v>Average Income</v>
      </c>
      <c r="P297">
        <f>IF(Table24[[#This Row],[Purchased Bike]]="Yes",1,0)</f>
        <v>1</v>
      </c>
    </row>
    <row r="298" spans="1:16" x14ac:dyDescent="0.25">
      <c r="A298">
        <v>26663</v>
      </c>
      <c r="B298" t="s">
        <v>35</v>
      </c>
      <c r="C298" t="s">
        <v>33</v>
      </c>
      <c r="D298" s="2">
        <v>60000</v>
      </c>
      <c r="E298">
        <v>2</v>
      </c>
      <c r="F298" t="s">
        <v>13</v>
      </c>
      <c r="G298" t="s">
        <v>21</v>
      </c>
      <c r="H298" t="s">
        <v>18</v>
      </c>
      <c r="I298">
        <v>1</v>
      </c>
      <c r="J298" t="s">
        <v>16</v>
      </c>
      <c r="K298" t="s">
        <v>24</v>
      </c>
      <c r="L298">
        <v>39</v>
      </c>
      <c r="M298" t="str" cm="1">
        <f t="array" ref="M298">_xlfn.IFS(
L298&gt;50,"Old Age",
L298&gt;=31,"Middle Age",
L298&lt;31,"Young Age"
)</f>
        <v>Middle Age</v>
      </c>
      <c r="N298" t="s">
        <v>15</v>
      </c>
      <c r="O298" t="str" cm="1">
        <f t="array" ref="O298">_xlfn.IFS(D298&gt;120000, "High Income", D298&gt;=80000, "Average Income", D298&lt;80000, "Low Income")</f>
        <v>Low Income</v>
      </c>
      <c r="P298">
        <f>IF(Table24[[#This Row],[Purchased Bike]]="Yes",1,0)</f>
        <v>1</v>
      </c>
    </row>
    <row r="299" spans="1:16" x14ac:dyDescent="0.25">
      <c r="A299">
        <v>11896</v>
      </c>
      <c r="B299" t="s">
        <v>34</v>
      </c>
      <c r="C299" t="s">
        <v>34</v>
      </c>
      <c r="D299" s="2">
        <v>100000</v>
      </c>
      <c r="E299">
        <v>1</v>
      </c>
      <c r="F299" t="s">
        <v>31</v>
      </c>
      <c r="G299" t="s">
        <v>28</v>
      </c>
      <c r="H299" t="s">
        <v>15</v>
      </c>
      <c r="I299">
        <v>0</v>
      </c>
      <c r="J299" t="s">
        <v>22</v>
      </c>
      <c r="K299" t="s">
        <v>24</v>
      </c>
      <c r="L299">
        <v>36</v>
      </c>
      <c r="M299" t="str" cm="1">
        <f t="array" ref="M299">_xlfn.IFS(
L299&gt;50,"Old Age",
L299&gt;=31,"Middle Age",
L299&lt;31,"Young Age"
)</f>
        <v>Middle Age</v>
      </c>
      <c r="N299" t="s">
        <v>15</v>
      </c>
      <c r="O299" t="str" cm="1">
        <f t="array" ref="O299">_xlfn.IFS(D299&gt;120000, "High Income", D299&gt;=80000, "Average Income", D299&lt;80000, "Low Income")</f>
        <v>Average Income</v>
      </c>
      <c r="P299">
        <f>IF(Table24[[#This Row],[Purchased Bike]]="Yes",1,0)</f>
        <v>1</v>
      </c>
    </row>
    <row r="300" spans="1:16" hidden="1" x14ac:dyDescent="0.25">
      <c r="A300">
        <v>14189</v>
      </c>
      <c r="B300" t="s">
        <v>34</v>
      </c>
      <c r="C300" t="s">
        <v>33</v>
      </c>
      <c r="D300" s="2">
        <v>90000</v>
      </c>
      <c r="E300">
        <v>4</v>
      </c>
      <c r="F300" t="s">
        <v>27</v>
      </c>
      <c r="G300" t="s">
        <v>21</v>
      </c>
      <c r="H300" t="s">
        <v>18</v>
      </c>
      <c r="I300">
        <v>2</v>
      </c>
      <c r="J300" t="s">
        <v>22</v>
      </c>
      <c r="K300" t="s">
        <v>17</v>
      </c>
      <c r="L300">
        <v>54</v>
      </c>
      <c r="M300" t="str" cm="1">
        <f t="array" ref="M300">_xlfn.IFS(
L300&gt;50,"Old Age",
L300&gt;=31,"Middle Age",
L300&lt;31,"Young Age"
)</f>
        <v>Old Age</v>
      </c>
      <c r="N300" t="s">
        <v>15</v>
      </c>
      <c r="O300" t="str" cm="1">
        <f t="array" ref="O300">_xlfn.IFS(D300&gt;120000, "High Income", D300&gt;=80000, "Average Income", D300&lt;80000, "Low Income")</f>
        <v>Average Income</v>
      </c>
      <c r="P300">
        <f>IF(Table24[[#This Row],[Purchased Bike]]="Yes",1,0)</f>
        <v>1</v>
      </c>
    </row>
    <row r="301" spans="1:16" hidden="1" x14ac:dyDescent="0.25">
      <c r="A301">
        <v>13136</v>
      </c>
      <c r="B301" t="s">
        <v>34</v>
      </c>
      <c r="C301" t="s">
        <v>33</v>
      </c>
      <c r="D301" s="2">
        <v>30000</v>
      </c>
      <c r="E301">
        <v>2</v>
      </c>
      <c r="F301" t="s">
        <v>19</v>
      </c>
      <c r="G301" t="s">
        <v>20</v>
      </c>
      <c r="H301" t="s">
        <v>18</v>
      </c>
      <c r="I301">
        <v>2</v>
      </c>
      <c r="J301" t="s">
        <v>23</v>
      </c>
      <c r="K301" t="s">
        <v>24</v>
      </c>
      <c r="L301">
        <v>69</v>
      </c>
      <c r="M301" t="str" cm="1">
        <f t="array" ref="M301">_xlfn.IFS(
L301&gt;50,"Old Age",
L301&gt;=31,"Middle Age",
L301&lt;31,"Young Age"
)</f>
        <v>Old Age</v>
      </c>
      <c r="N301" t="s">
        <v>18</v>
      </c>
      <c r="O301" t="str" cm="1">
        <f t="array" ref="O301">_xlfn.IFS(D301&gt;120000, "High Income", D301&gt;=80000, "Average Income", D301&lt;80000, "Low Income")</f>
        <v>Low Income</v>
      </c>
      <c r="P301">
        <f>IF(Table24[[#This Row],[Purchased Bike]]="Yes",1,0)</f>
        <v>0</v>
      </c>
    </row>
    <row r="302" spans="1:16" hidden="1" x14ac:dyDescent="0.25">
      <c r="A302">
        <v>25906</v>
      </c>
      <c r="B302" t="s">
        <v>35</v>
      </c>
      <c r="C302" t="s">
        <v>33</v>
      </c>
      <c r="D302" s="2">
        <v>10000</v>
      </c>
      <c r="E302">
        <v>5</v>
      </c>
      <c r="F302" t="s">
        <v>27</v>
      </c>
      <c r="G302" t="s">
        <v>14</v>
      </c>
      <c r="H302" t="s">
        <v>18</v>
      </c>
      <c r="I302">
        <v>2</v>
      </c>
      <c r="J302" t="s">
        <v>26</v>
      </c>
      <c r="K302" t="s">
        <v>24</v>
      </c>
      <c r="L302">
        <v>62</v>
      </c>
      <c r="M302" t="str" cm="1">
        <f t="array" ref="M302">_xlfn.IFS(
L302&gt;50,"Old Age",
L302&gt;=31,"Middle Age",
L302&lt;31,"Young Age"
)</f>
        <v>Old Age</v>
      </c>
      <c r="N302" t="s">
        <v>18</v>
      </c>
      <c r="O302" t="str" cm="1">
        <f t="array" ref="O302">_xlfn.IFS(D302&gt;120000, "High Income", D302&gt;=80000, "Average Income", D302&lt;80000, "Low Income")</f>
        <v>Low Income</v>
      </c>
      <c r="P302">
        <f>IF(Table24[[#This Row],[Purchased Bike]]="Yes",1,0)</f>
        <v>0</v>
      </c>
    </row>
    <row r="303" spans="1:16" hidden="1" x14ac:dyDescent="0.25">
      <c r="A303">
        <v>17926</v>
      </c>
      <c r="B303" t="s">
        <v>35</v>
      </c>
      <c r="C303" t="s">
        <v>33</v>
      </c>
      <c r="D303" s="2">
        <v>40000</v>
      </c>
      <c r="E303">
        <v>0</v>
      </c>
      <c r="F303" t="s">
        <v>13</v>
      </c>
      <c r="G303" t="s">
        <v>20</v>
      </c>
      <c r="H303" t="s">
        <v>18</v>
      </c>
      <c r="I303">
        <v>0</v>
      </c>
      <c r="J303" t="s">
        <v>16</v>
      </c>
      <c r="K303" t="s">
        <v>24</v>
      </c>
      <c r="L303">
        <v>28</v>
      </c>
      <c r="M303" t="str" cm="1">
        <f t="array" ref="M303">_xlfn.IFS(
L303&gt;50,"Old Age",
L303&gt;=31,"Middle Age",
L303&lt;31,"Young Age"
)</f>
        <v>Young Age</v>
      </c>
      <c r="N303" t="s">
        <v>15</v>
      </c>
      <c r="O303" t="str" cm="1">
        <f t="array" ref="O303">_xlfn.IFS(D303&gt;120000, "High Income", D303&gt;=80000, "Average Income", D303&lt;80000, "Low Income")</f>
        <v>Low Income</v>
      </c>
      <c r="P303">
        <f>IF(Table24[[#This Row],[Purchased Bike]]="Yes",1,0)</f>
        <v>1</v>
      </c>
    </row>
    <row r="304" spans="1:16" hidden="1" x14ac:dyDescent="0.25">
      <c r="A304">
        <v>26928</v>
      </c>
      <c r="B304" t="s">
        <v>35</v>
      </c>
      <c r="C304" t="s">
        <v>34</v>
      </c>
      <c r="D304" s="2">
        <v>30000</v>
      </c>
      <c r="E304">
        <v>1</v>
      </c>
      <c r="F304" t="s">
        <v>13</v>
      </c>
      <c r="G304" t="s">
        <v>20</v>
      </c>
      <c r="H304" t="s">
        <v>15</v>
      </c>
      <c r="I304">
        <v>0</v>
      </c>
      <c r="J304" t="s">
        <v>16</v>
      </c>
      <c r="K304" t="s">
        <v>17</v>
      </c>
      <c r="L304">
        <v>62</v>
      </c>
      <c r="M304" t="str" cm="1">
        <f t="array" ref="M304">_xlfn.IFS(
L304&gt;50,"Old Age",
L304&gt;=31,"Middle Age",
L304&lt;31,"Young Age"
)</f>
        <v>Old Age</v>
      </c>
      <c r="N304" t="s">
        <v>15</v>
      </c>
      <c r="O304" t="str" cm="1">
        <f t="array" ref="O304">_xlfn.IFS(D304&gt;120000, "High Income", D304&gt;=80000, "Average Income", D304&lt;80000, "Low Income")</f>
        <v>Low Income</v>
      </c>
      <c r="P304">
        <f>IF(Table24[[#This Row],[Purchased Bike]]="Yes",1,0)</f>
        <v>1</v>
      </c>
    </row>
    <row r="305" spans="1:16" hidden="1" x14ac:dyDescent="0.25">
      <c r="A305">
        <v>20897</v>
      </c>
      <c r="B305" t="s">
        <v>34</v>
      </c>
      <c r="C305" t="s">
        <v>33</v>
      </c>
      <c r="D305" s="2">
        <v>30000</v>
      </c>
      <c r="E305">
        <v>1</v>
      </c>
      <c r="F305" t="s">
        <v>13</v>
      </c>
      <c r="G305" t="s">
        <v>14</v>
      </c>
      <c r="H305" t="s">
        <v>15</v>
      </c>
      <c r="I305">
        <v>2</v>
      </c>
      <c r="J305" t="s">
        <v>16</v>
      </c>
      <c r="K305" t="s">
        <v>17</v>
      </c>
      <c r="L305">
        <v>40</v>
      </c>
      <c r="M305" t="str" cm="1">
        <f t="array" ref="M305">_xlfn.IFS(
L305&gt;50,"Old Age",
L305&gt;=31,"Middle Age",
L305&lt;31,"Young Age"
)</f>
        <v>Middle Age</v>
      </c>
      <c r="N305" t="s">
        <v>18</v>
      </c>
      <c r="O305" t="str" cm="1">
        <f t="array" ref="O305">_xlfn.IFS(D305&gt;120000, "High Income", D305&gt;=80000, "Average Income", D305&lt;80000, "Low Income")</f>
        <v>Low Income</v>
      </c>
      <c r="P305">
        <f>IF(Table24[[#This Row],[Purchased Bike]]="Yes",1,0)</f>
        <v>0</v>
      </c>
    </row>
    <row r="306" spans="1:16" x14ac:dyDescent="0.25">
      <c r="A306">
        <v>28207</v>
      </c>
      <c r="B306" t="s">
        <v>34</v>
      </c>
      <c r="C306" t="s">
        <v>34</v>
      </c>
      <c r="D306" s="2">
        <v>80000</v>
      </c>
      <c r="E306">
        <v>4</v>
      </c>
      <c r="F306" t="s">
        <v>31</v>
      </c>
      <c r="G306" t="s">
        <v>28</v>
      </c>
      <c r="H306" t="s">
        <v>15</v>
      </c>
      <c r="I306">
        <v>1</v>
      </c>
      <c r="J306" t="s">
        <v>16</v>
      </c>
      <c r="K306" t="s">
        <v>24</v>
      </c>
      <c r="L306">
        <v>36</v>
      </c>
      <c r="M306" t="str" cm="1">
        <f t="array" ref="M306">_xlfn.IFS(
L306&gt;50,"Old Age",
L306&gt;=31,"Middle Age",
L306&lt;31,"Young Age"
)</f>
        <v>Middle Age</v>
      </c>
      <c r="N306" t="s">
        <v>15</v>
      </c>
      <c r="O306" t="str" cm="1">
        <f t="array" ref="O306">_xlfn.IFS(D306&gt;120000, "High Income", D306&gt;=80000, "Average Income", D306&lt;80000, "Low Income")</f>
        <v>Average Income</v>
      </c>
      <c r="P306">
        <f>IF(Table24[[#This Row],[Purchased Bike]]="Yes",1,0)</f>
        <v>1</v>
      </c>
    </row>
    <row r="307" spans="1:16" hidden="1" x14ac:dyDescent="0.25">
      <c r="A307">
        <v>25923</v>
      </c>
      <c r="B307" t="s">
        <v>35</v>
      </c>
      <c r="C307" t="s">
        <v>34</v>
      </c>
      <c r="D307" s="2">
        <v>10000</v>
      </c>
      <c r="E307">
        <v>2</v>
      </c>
      <c r="F307" t="s">
        <v>29</v>
      </c>
      <c r="G307" t="s">
        <v>20</v>
      </c>
      <c r="H307" t="s">
        <v>15</v>
      </c>
      <c r="I307">
        <v>2</v>
      </c>
      <c r="J307" t="s">
        <v>23</v>
      </c>
      <c r="K307" t="s">
        <v>24</v>
      </c>
      <c r="L307">
        <v>58</v>
      </c>
      <c r="M307" t="str" cm="1">
        <f t="array" ref="M307">_xlfn.IFS(
L307&gt;50,"Old Age",
L307&gt;=31,"Middle Age",
L307&lt;31,"Young Age"
)</f>
        <v>Old Age</v>
      </c>
      <c r="N307" t="s">
        <v>18</v>
      </c>
      <c r="O307" t="str" cm="1">
        <f t="array" ref="O307">_xlfn.IFS(D307&gt;120000, "High Income", D307&gt;=80000, "Average Income", D307&lt;80000, "Low Income")</f>
        <v>Low Income</v>
      </c>
      <c r="P307">
        <f>IF(Table24[[#This Row],[Purchased Bike]]="Yes",1,0)</f>
        <v>0</v>
      </c>
    </row>
    <row r="308" spans="1:16" x14ac:dyDescent="0.25">
      <c r="A308">
        <v>11000</v>
      </c>
      <c r="B308" t="s">
        <v>34</v>
      </c>
      <c r="C308" t="s">
        <v>34</v>
      </c>
      <c r="D308" s="2">
        <v>90000</v>
      </c>
      <c r="E308">
        <v>2</v>
      </c>
      <c r="F308" t="s">
        <v>13</v>
      </c>
      <c r="G308" t="s">
        <v>21</v>
      </c>
      <c r="H308" t="s">
        <v>15</v>
      </c>
      <c r="I308">
        <v>0</v>
      </c>
      <c r="J308" t="s">
        <v>26</v>
      </c>
      <c r="K308" t="s">
        <v>24</v>
      </c>
      <c r="L308">
        <v>40</v>
      </c>
      <c r="M308" t="str" cm="1">
        <f t="array" ref="M308">_xlfn.IFS(
L308&gt;50,"Old Age",
L308&gt;=31,"Middle Age",
L308&lt;31,"Young Age"
)</f>
        <v>Middle Age</v>
      </c>
      <c r="N308" t="s">
        <v>15</v>
      </c>
      <c r="O308" t="str" cm="1">
        <f t="array" ref="O308">_xlfn.IFS(D308&gt;120000, "High Income", D308&gt;=80000, "Average Income", D308&lt;80000, "Low Income")</f>
        <v>Average Income</v>
      </c>
      <c r="P308">
        <f>IF(Table24[[#This Row],[Purchased Bike]]="Yes",1,0)</f>
        <v>1</v>
      </c>
    </row>
    <row r="309" spans="1:16" hidden="1" x14ac:dyDescent="0.25">
      <c r="A309">
        <v>20974</v>
      </c>
      <c r="B309" t="s">
        <v>34</v>
      </c>
      <c r="C309" t="s">
        <v>34</v>
      </c>
      <c r="D309" s="2">
        <v>10000</v>
      </c>
      <c r="E309">
        <v>2</v>
      </c>
      <c r="F309" t="s">
        <v>13</v>
      </c>
      <c r="G309" t="s">
        <v>20</v>
      </c>
      <c r="H309" t="s">
        <v>15</v>
      </c>
      <c r="I309">
        <v>1</v>
      </c>
      <c r="J309" t="s">
        <v>16</v>
      </c>
      <c r="K309" t="s">
        <v>17</v>
      </c>
      <c r="L309">
        <v>66</v>
      </c>
      <c r="M309" t="str" cm="1">
        <f t="array" ref="M309">_xlfn.IFS(
L309&gt;50,"Old Age",
L309&gt;=31,"Middle Age",
L309&lt;31,"Young Age"
)</f>
        <v>Old Age</v>
      </c>
      <c r="N309" t="s">
        <v>18</v>
      </c>
      <c r="O309" t="str" cm="1">
        <f t="array" ref="O309">_xlfn.IFS(D309&gt;120000, "High Income", D309&gt;=80000, "Average Income", D309&lt;80000, "Low Income")</f>
        <v>Low Income</v>
      </c>
      <c r="P309">
        <f>IF(Table24[[#This Row],[Purchased Bike]]="Yes",1,0)</f>
        <v>0</v>
      </c>
    </row>
    <row r="310" spans="1:16" x14ac:dyDescent="0.25">
      <c r="A310">
        <v>28758</v>
      </c>
      <c r="B310" t="s">
        <v>34</v>
      </c>
      <c r="C310" t="s">
        <v>34</v>
      </c>
      <c r="D310" s="2">
        <v>40000</v>
      </c>
      <c r="E310">
        <v>2</v>
      </c>
      <c r="F310" t="s">
        <v>19</v>
      </c>
      <c r="G310" t="s">
        <v>20</v>
      </c>
      <c r="H310" t="s">
        <v>15</v>
      </c>
      <c r="I310">
        <v>1</v>
      </c>
      <c r="J310" t="s">
        <v>26</v>
      </c>
      <c r="K310" t="s">
        <v>17</v>
      </c>
      <c r="L310">
        <v>35</v>
      </c>
      <c r="M310" t="str" cm="1">
        <f t="array" ref="M310">_xlfn.IFS(
L310&gt;50,"Old Age",
L310&gt;=31,"Middle Age",
L310&lt;31,"Young Age"
)</f>
        <v>Middle Age</v>
      </c>
      <c r="N310" t="s">
        <v>15</v>
      </c>
      <c r="O310" t="str" cm="1">
        <f t="array" ref="O310">_xlfn.IFS(D310&gt;120000, "High Income", D310&gt;=80000, "Average Income", D310&lt;80000, "Low Income")</f>
        <v>Low Income</v>
      </c>
      <c r="P310">
        <f>IF(Table24[[#This Row],[Purchased Bike]]="Yes",1,0)</f>
        <v>1</v>
      </c>
    </row>
    <row r="311" spans="1:16" x14ac:dyDescent="0.25">
      <c r="A311">
        <v>11381</v>
      </c>
      <c r="B311" t="s">
        <v>34</v>
      </c>
      <c r="C311" t="s">
        <v>33</v>
      </c>
      <c r="D311" s="2">
        <v>20000</v>
      </c>
      <c r="E311">
        <v>2</v>
      </c>
      <c r="F311" t="s">
        <v>19</v>
      </c>
      <c r="G311" t="s">
        <v>25</v>
      </c>
      <c r="H311" t="s">
        <v>15</v>
      </c>
      <c r="I311">
        <v>1</v>
      </c>
      <c r="J311" t="s">
        <v>22</v>
      </c>
      <c r="K311" t="s">
        <v>17</v>
      </c>
      <c r="L311">
        <v>47</v>
      </c>
      <c r="M311" t="str" cm="1">
        <f t="array" ref="M311">_xlfn.IFS(
L311&gt;50,"Old Age",
L311&gt;=31,"Middle Age",
L311&lt;31,"Young Age"
)</f>
        <v>Middle Age</v>
      </c>
      <c r="N311" t="s">
        <v>15</v>
      </c>
      <c r="O311" t="str" cm="1">
        <f t="array" ref="O311">_xlfn.IFS(D311&gt;120000, "High Income", D311&gt;=80000, "Average Income", D311&lt;80000, "Low Income")</f>
        <v>Low Income</v>
      </c>
      <c r="P311">
        <f>IF(Table24[[#This Row],[Purchased Bike]]="Yes",1,0)</f>
        <v>1</v>
      </c>
    </row>
    <row r="312" spans="1:16" hidden="1" x14ac:dyDescent="0.25">
      <c r="A312">
        <v>17522</v>
      </c>
      <c r="B312" t="s">
        <v>34</v>
      </c>
      <c r="C312" t="s">
        <v>34</v>
      </c>
      <c r="D312" s="2">
        <v>120000</v>
      </c>
      <c r="E312">
        <v>4</v>
      </c>
      <c r="F312" t="s">
        <v>13</v>
      </c>
      <c r="G312" t="s">
        <v>28</v>
      </c>
      <c r="H312" t="s">
        <v>15</v>
      </c>
      <c r="I312">
        <v>1</v>
      </c>
      <c r="J312" t="s">
        <v>22</v>
      </c>
      <c r="K312" t="s">
        <v>24</v>
      </c>
      <c r="L312">
        <v>47</v>
      </c>
      <c r="M312" t="str" cm="1">
        <f t="array" ref="M312">_xlfn.IFS(
L312&gt;50,"Old Age",
L312&gt;=31,"Middle Age",
L312&lt;31,"Young Age"
)</f>
        <v>Middle Age</v>
      </c>
      <c r="N312" t="s">
        <v>18</v>
      </c>
      <c r="O312" t="str" cm="1">
        <f t="array" ref="O312">_xlfn.IFS(D312&gt;120000, "High Income", D312&gt;=80000, "Average Income", D312&lt;80000, "Low Income")</f>
        <v>Average Income</v>
      </c>
      <c r="P312">
        <f>IF(Table24[[#This Row],[Purchased Bike]]="Yes",1,0)</f>
        <v>0</v>
      </c>
    </row>
    <row r="313" spans="1:16" hidden="1" x14ac:dyDescent="0.25">
      <c r="A313">
        <v>21207</v>
      </c>
      <c r="B313" t="s">
        <v>34</v>
      </c>
      <c r="C313" t="s">
        <v>34</v>
      </c>
      <c r="D313" s="2">
        <v>60000</v>
      </c>
      <c r="E313">
        <v>1</v>
      </c>
      <c r="F313" t="s">
        <v>19</v>
      </c>
      <c r="G313" t="s">
        <v>14</v>
      </c>
      <c r="H313" t="s">
        <v>15</v>
      </c>
      <c r="I313">
        <v>1</v>
      </c>
      <c r="J313" t="s">
        <v>23</v>
      </c>
      <c r="K313" t="s">
        <v>24</v>
      </c>
      <c r="L313">
        <v>46</v>
      </c>
      <c r="M313" t="str" cm="1">
        <f t="array" ref="M313">_xlfn.IFS(
L313&gt;50,"Old Age",
L313&gt;=31,"Middle Age",
L313&lt;31,"Young Age"
)</f>
        <v>Middle Age</v>
      </c>
      <c r="N313" t="s">
        <v>18</v>
      </c>
      <c r="O313" t="str" cm="1">
        <f t="array" ref="O313">_xlfn.IFS(D313&gt;120000, "High Income", D313&gt;=80000, "Average Income", D313&lt;80000, "Low Income")</f>
        <v>Low Income</v>
      </c>
      <c r="P313">
        <f>IF(Table24[[#This Row],[Purchased Bike]]="Yes",1,0)</f>
        <v>0</v>
      </c>
    </row>
    <row r="314" spans="1:16" hidden="1" x14ac:dyDescent="0.25">
      <c r="A314">
        <v>28102</v>
      </c>
      <c r="B314" t="s">
        <v>34</v>
      </c>
      <c r="C314" t="s">
        <v>34</v>
      </c>
      <c r="D314" s="2">
        <v>20000</v>
      </c>
      <c r="E314">
        <v>4</v>
      </c>
      <c r="F314" t="s">
        <v>27</v>
      </c>
      <c r="G314" t="s">
        <v>14</v>
      </c>
      <c r="H314" t="s">
        <v>15</v>
      </c>
      <c r="I314">
        <v>2</v>
      </c>
      <c r="J314" t="s">
        <v>23</v>
      </c>
      <c r="K314" t="s">
        <v>24</v>
      </c>
      <c r="L314">
        <v>58</v>
      </c>
      <c r="M314" t="str" cm="1">
        <f t="array" ref="M314">_xlfn.IFS(
L314&gt;50,"Old Age",
L314&gt;=31,"Middle Age",
L314&lt;31,"Young Age"
)</f>
        <v>Old Age</v>
      </c>
      <c r="N314" t="s">
        <v>15</v>
      </c>
      <c r="O314" t="str" cm="1">
        <f t="array" ref="O314">_xlfn.IFS(D314&gt;120000, "High Income", D314&gt;=80000, "Average Income", D314&lt;80000, "Low Income")</f>
        <v>Low Income</v>
      </c>
      <c r="P314">
        <f>IF(Table24[[#This Row],[Purchased Bike]]="Yes",1,0)</f>
        <v>1</v>
      </c>
    </row>
    <row r="315" spans="1:16" hidden="1" x14ac:dyDescent="0.25">
      <c r="A315">
        <v>23105</v>
      </c>
      <c r="B315" t="s">
        <v>35</v>
      </c>
      <c r="C315" t="s">
        <v>34</v>
      </c>
      <c r="D315" s="2">
        <v>40000</v>
      </c>
      <c r="E315">
        <v>3</v>
      </c>
      <c r="F315" t="s">
        <v>29</v>
      </c>
      <c r="G315" t="s">
        <v>20</v>
      </c>
      <c r="H315" t="s">
        <v>18</v>
      </c>
      <c r="I315">
        <v>2</v>
      </c>
      <c r="J315" t="s">
        <v>23</v>
      </c>
      <c r="K315" t="s">
        <v>24</v>
      </c>
      <c r="L315">
        <v>52</v>
      </c>
      <c r="M315" t="str" cm="1">
        <f t="array" ref="M315">_xlfn.IFS(
L315&gt;50,"Old Age",
L315&gt;=31,"Middle Age",
L315&lt;31,"Young Age"
)</f>
        <v>Old Age</v>
      </c>
      <c r="N315" t="s">
        <v>15</v>
      </c>
      <c r="O315" t="str" cm="1">
        <f t="array" ref="O315">_xlfn.IFS(D315&gt;120000, "High Income", D315&gt;=80000, "Average Income", D315&lt;80000, "Low Income")</f>
        <v>Low Income</v>
      </c>
      <c r="P315">
        <f>IF(Table24[[#This Row],[Purchased Bike]]="Yes",1,0)</f>
        <v>1</v>
      </c>
    </row>
    <row r="316" spans="1:16" x14ac:dyDescent="0.25">
      <c r="A316">
        <v>18740</v>
      </c>
      <c r="B316" t="s">
        <v>34</v>
      </c>
      <c r="C316" t="s">
        <v>34</v>
      </c>
      <c r="D316" s="2">
        <v>80000</v>
      </c>
      <c r="E316">
        <v>5</v>
      </c>
      <c r="F316" t="s">
        <v>13</v>
      </c>
      <c r="G316" t="s">
        <v>21</v>
      </c>
      <c r="H316" t="s">
        <v>18</v>
      </c>
      <c r="I316">
        <v>1</v>
      </c>
      <c r="J316" t="s">
        <v>16</v>
      </c>
      <c r="K316" t="s">
        <v>24</v>
      </c>
      <c r="L316">
        <v>47</v>
      </c>
      <c r="M316" t="str" cm="1">
        <f t="array" ref="M316">_xlfn.IFS(
L316&gt;50,"Old Age",
L316&gt;=31,"Middle Age",
L316&lt;31,"Young Age"
)</f>
        <v>Middle Age</v>
      </c>
      <c r="N316" t="s">
        <v>15</v>
      </c>
      <c r="O316" t="str" cm="1">
        <f t="array" ref="O316">_xlfn.IFS(D316&gt;120000, "High Income", D316&gt;=80000, "Average Income", D316&lt;80000, "Low Income")</f>
        <v>Average Income</v>
      </c>
      <c r="P316">
        <f>IF(Table24[[#This Row],[Purchased Bike]]="Yes",1,0)</f>
        <v>1</v>
      </c>
    </row>
    <row r="317" spans="1:16" hidden="1" x14ac:dyDescent="0.25">
      <c r="A317">
        <v>21213</v>
      </c>
      <c r="B317" t="s">
        <v>35</v>
      </c>
      <c r="C317" t="s">
        <v>34</v>
      </c>
      <c r="D317" s="2">
        <v>70000</v>
      </c>
      <c r="E317">
        <v>0</v>
      </c>
      <c r="F317" t="s">
        <v>13</v>
      </c>
      <c r="G317" t="s">
        <v>21</v>
      </c>
      <c r="H317" t="s">
        <v>18</v>
      </c>
      <c r="I317">
        <v>1</v>
      </c>
      <c r="J317" t="s">
        <v>23</v>
      </c>
      <c r="K317" t="s">
        <v>24</v>
      </c>
      <c r="L317">
        <v>41</v>
      </c>
      <c r="M317" t="str" cm="1">
        <f t="array" ref="M317">_xlfn.IFS(
L317&gt;50,"Old Age",
L317&gt;=31,"Middle Age",
L317&lt;31,"Young Age"
)</f>
        <v>Middle Age</v>
      </c>
      <c r="N317" t="s">
        <v>18</v>
      </c>
      <c r="O317" t="str" cm="1">
        <f t="array" ref="O317">_xlfn.IFS(D317&gt;120000, "High Income", D317&gt;=80000, "Average Income", D317&lt;80000, "Low Income")</f>
        <v>Low Income</v>
      </c>
      <c r="P317">
        <f>IF(Table24[[#This Row],[Purchased Bike]]="Yes",1,0)</f>
        <v>0</v>
      </c>
    </row>
    <row r="318" spans="1:16" hidden="1" x14ac:dyDescent="0.25">
      <c r="A318">
        <v>17352</v>
      </c>
      <c r="B318" t="s">
        <v>34</v>
      </c>
      <c r="C318" t="s">
        <v>34</v>
      </c>
      <c r="D318" s="2">
        <v>50000</v>
      </c>
      <c r="E318">
        <v>2</v>
      </c>
      <c r="F318" t="s">
        <v>31</v>
      </c>
      <c r="G318" t="s">
        <v>28</v>
      </c>
      <c r="H318" t="s">
        <v>15</v>
      </c>
      <c r="I318">
        <v>1</v>
      </c>
      <c r="J318" t="s">
        <v>23</v>
      </c>
      <c r="K318" t="s">
        <v>24</v>
      </c>
      <c r="L318">
        <v>64</v>
      </c>
      <c r="M318" t="str" cm="1">
        <f t="array" ref="M318">_xlfn.IFS(
L318&gt;50,"Old Age",
L318&gt;=31,"Middle Age",
L318&lt;31,"Young Age"
)</f>
        <v>Old Age</v>
      </c>
      <c r="N318" t="s">
        <v>15</v>
      </c>
      <c r="O318" t="str" cm="1">
        <f t="array" ref="O318">_xlfn.IFS(D318&gt;120000, "High Income", D318&gt;=80000, "Average Income", D318&lt;80000, "Low Income")</f>
        <v>Low Income</v>
      </c>
      <c r="P318">
        <f>IF(Table24[[#This Row],[Purchased Bike]]="Yes",1,0)</f>
        <v>1</v>
      </c>
    </row>
    <row r="319" spans="1:16" x14ac:dyDescent="0.25">
      <c r="A319">
        <v>14154</v>
      </c>
      <c r="B319" t="s">
        <v>34</v>
      </c>
      <c r="C319" t="s">
        <v>34</v>
      </c>
      <c r="D319" s="2">
        <v>30000</v>
      </c>
      <c r="E319">
        <v>0</v>
      </c>
      <c r="F319" t="s">
        <v>13</v>
      </c>
      <c r="G319" t="s">
        <v>20</v>
      </c>
      <c r="H319" t="s">
        <v>15</v>
      </c>
      <c r="I319">
        <v>0</v>
      </c>
      <c r="J319" t="s">
        <v>16</v>
      </c>
      <c r="K319" t="s">
        <v>17</v>
      </c>
      <c r="L319">
        <v>35</v>
      </c>
      <c r="M319" t="str" cm="1">
        <f t="array" ref="M319">_xlfn.IFS(
L319&gt;50,"Old Age",
L319&gt;=31,"Middle Age",
L319&lt;31,"Young Age"
)</f>
        <v>Middle Age</v>
      </c>
      <c r="N319" t="s">
        <v>15</v>
      </c>
      <c r="O319" t="str" cm="1">
        <f t="array" ref="O319">_xlfn.IFS(D319&gt;120000, "High Income", D319&gt;=80000, "Average Income", D319&lt;80000, "Low Income")</f>
        <v>Low Income</v>
      </c>
      <c r="P319">
        <f>IF(Table24[[#This Row],[Purchased Bike]]="Yes",1,0)</f>
        <v>1</v>
      </c>
    </row>
    <row r="320" spans="1:16" hidden="1" x14ac:dyDescent="0.25">
      <c r="A320">
        <v>19066</v>
      </c>
      <c r="B320" t="s">
        <v>34</v>
      </c>
      <c r="C320" t="s">
        <v>34</v>
      </c>
      <c r="D320" s="2">
        <v>130000</v>
      </c>
      <c r="E320">
        <v>4</v>
      </c>
      <c r="F320" t="s">
        <v>19</v>
      </c>
      <c r="G320" t="s">
        <v>21</v>
      </c>
      <c r="H320" t="s">
        <v>18</v>
      </c>
      <c r="I320">
        <v>3</v>
      </c>
      <c r="J320" t="s">
        <v>30</v>
      </c>
      <c r="K320" t="s">
        <v>17</v>
      </c>
      <c r="L320">
        <v>54</v>
      </c>
      <c r="M320" t="str" cm="1">
        <f t="array" ref="M320">_xlfn.IFS(
L320&gt;50,"Old Age",
L320&gt;=31,"Middle Age",
L320&lt;31,"Young Age"
)</f>
        <v>Old Age</v>
      </c>
      <c r="N320" t="s">
        <v>18</v>
      </c>
      <c r="O320" t="str" cm="1">
        <f t="array" ref="O320">_xlfn.IFS(D320&gt;120000, "High Income", D320&gt;=80000, "Average Income", D320&lt;80000, "Low Income")</f>
        <v>High Income</v>
      </c>
      <c r="P320">
        <f>IF(Table24[[#This Row],[Purchased Bike]]="Yes",1,0)</f>
        <v>0</v>
      </c>
    </row>
    <row r="321" spans="1:16" hidden="1" x14ac:dyDescent="0.25">
      <c r="A321">
        <v>11386</v>
      </c>
      <c r="B321" t="s">
        <v>34</v>
      </c>
      <c r="C321" t="s">
        <v>33</v>
      </c>
      <c r="D321" s="2">
        <v>30000</v>
      </c>
      <c r="E321">
        <v>3</v>
      </c>
      <c r="F321" t="s">
        <v>13</v>
      </c>
      <c r="G321" t="s">
        <v>20</v>
      </c>
      <c r="H321" t="s">
        <v>15</v>
      </c>
      <c r="I321">
        <v>0</v>
      </c>
      <c r="J321" t="s">
        <v>16</v>
      </c>
      <c r="K321" t="s">
        <v>17</v>
      </c>
      <c r="L321">
        <v>45</v>
      </c>
      <c r="M321" t="str" cm="1">
        <f t="array" ref="M321">_xlfn.IFS(
L321&gt;50,"Old Age",
L321&gt;=31,"Middle Age",
L321&lt;31,"Young Age"
)</f>
        <v>Middle Age</v>
      </c>
      <c r="N321" t="s">
        <v>18</v>
      </c>
      <c r="O321" t="str" cm="1">
        <f t="array" ref="O321">_xlfn.IFS(D321&gt;120000, "High Income", D321&gt;=80000, "Average Income", D321&lt;80000, "Low Income")</f>
        <v>Low Income</v>
      </c>
      <c r="P321">
        <f>IF(Table24[[#This Row],[Purchased Bike]]="Yes",1,0)</f>
        <v>0</v>
      </c>
    </row>
    <row r="322" spans="1:16" x14ac:dyDescent="0.25">
      <c r="A322">
        <v>20228</v>
      </c>
      <c r="B322" t="s">
        <v>34</v>
      </c>
      <c r="C322" t="s">
        <v>34</v>
      </c>
      <c r="D322" s="2">
        <v>100000</v>
      </c>
      <c r="E322">
        <v>0</v>
      </c>
      <c r="F322" t="s">
        <v>31</v>
      </c>
      <c r="G322" t="s">
        <v>28</v>
      </c>
      <c r="H322" t="s">
        <v>15</v>
      </c>
      <c r="I322">
        <v>0</v>
      </c>
      <c r="J322" t="s">
        <v>22</v>
      </c>
      <c r="K322" t="s">
        <v>24</v>
      </c>
      <c r="L322">
        <v>40</v>
      </c>
      <c r="M322" t="str" cm="1">
        <f t="array" ref="M322">_xlfn.IFS(
L322&gt;50,"Old Age",
L322&gt;=31,"Middle Age",
L322&lt;31,"Young Age"
)</f>
        <v>Middle Age</v>
      </c>
      <c r="N322" t="s">
        <v>15</v>
      </c>
      <c r="O322" t="str" cm="1">
        <f t="array" ref="O322">_xlfn.IFS(D322&gt;120000, "High Income", D322&gt;=80000, "Average Income", D322&lt;80000, "Low Income")</f>
        <v>Average Income</v>
      </c>
      <c r="P322">
        <f>IF(Table24[[#This Row],[Purchased Bike]]="Yes",1,0)</f>
        <v>1</v>
      </c>
    </row>
    <row r="323" spans="1:16" x14ac:dyDescent="0.25">
      <c r="A323">
        <v>16675</v>
      </c>
      <c r="B323" t="s">
        <v>35</v>
      </c>
      <c r="C323" t="s">
        <v>33</v>
      </c>
      <c r="D323" s="2">
        <v>160000</v>
      </c>
      <c r="E323">
        <v>0</v>
      </c>
      <c r="F323" t="s">
        <v>31</v>
      </c>
      <c r="G323" t="s">
        <v>28</v>
      </c>
      <c r="H323" t="s">
        <v>18</v>
      </c>
      <c r="I323">
        <v>3</v>
      </c>
      <c r="J323" t="s">
        <v>16</v>
      </c>
      <c r="K323" t="s">
        <v>24</v>
      </c>
      <c r="L323">
        <v>47</v>
      </c>
      <c r="M323" t="str" cm="1">
        <f t="array" ref="M323">_xlfn.IFS(
L323&gt;50,"Old Age",
L323&gt;=31,"Middle Age",
L323&lt;31,"Young Age"
)</f>
        <v>Middle Age</v>
      </c>
      <c r="N323" t="s">
        <v>15</v>
      </c>
      <c r="O323" t="str" cm="1">
        <f t="array" ref="O323">_xlfn.IFS(D323&gt;120000, "High Income", D323&gt;=80000, "Average Income", D323&lt;80000, "Low Income")</f>
        <v>High Income</v>
      </c>
      <c r="P323">
        <f>IF(Table24[[#This Row],[Purchased Bike]]="Yes",1,0)</f>
        <v>1</v>
      </c>
    </row>
    <row r="324" spans="1:16" x14ac:dyDescent="0.25">
      <c r="A324">
        <v>16410</v>
      </c>
      <c r="B324" t="s">
        <v>35</v>
      </c>
      <c r="C324" t="s">
        <v>33</v>
      </c>
      <c r="D324" s="2">
        <v>10000</v>
      </c>
      <c r="E324">
        <v>4</v>
      </c>
      <c r="F324" t="s">
        <v>29</v>
      </c>
      <c r="G324" t="s">
        <v>25</v>
      </c>
      <c r="H324" t="s">
        <v>15</v>
      </c>
      <c r="I324">
        <v>2</v>
      </c>
      <c r="J324" t="s">
        <v>16</v>
      </c>
      <c r="K324" t="s">
        <v>17</v>
      </c>
      <c r="L324">
        <v>41</v>
      </c>
      <c r="M324" t="str" cm="1">
        <f t="array" ref="M324">_xlfn.IFS(
L324&gt;50,"Old Age",
L324&gt;=31,"Middle Age",
L324&lt;31,"Young Age"
)</f>
        <v>Middle Age</v>
      </c>
      <c r="N324" t="s">
        <v>15</v>
      </c>
      <c r="O324" t="str" cm="1">
        <f t="array" ref="O324">_xlfn.IFS(D324&gt;120000, "High Income", D324&gt;=80000, "Average Income", D324&lt;80000, "Low Income")</f>
        <v>Low Income</v>
      </c>
      <c r="P324">
        <f>IF(Table24[[#This Row],[Purchased Bike]]="Yes",1,0)</f>
        <v>1</v>
      </c>
    </row>
    <row r="325" spans="1:16" x14ac:dyDescent="0.25">
      <c r="A325">
        <v>27760</v>
      </c>
      <c r="B325" t="s">
        <v>35</v>
      </c>
      <c r="C325" t="s">
        <v>33</v>
      </c>
      <c r="D325" s="2">
        <v>40000</v>
      </c>
      <c r="E325">
        <v>0</v>
      </c>
      <c r="F325" t="s">
        <v>31</v>
      </c>
      <c r="G325" t="s">
        <v>20</v>
      </c>
      <c r="H325" t="s">
        <v>18</v>
      </c>
      <c r="I325">
        <v>0</v>
      </c>
      <c r="J325" t="s">
        <v>16</v>
      </c>
      <c r="K325" t="s">
        <v>17</v>
      </c>
      <c r="L325">
        <v>37</v>
      </c>
      <c r="M325" t="str" cm="1">
        <f t="array" ref="M325">_xlfn.IFS(
L325&gt;50,"Old Age",
L325&gt;=31,"Middle Age",
L325&lt;31,"Young Age"
)</f>
        <v>Middle Age</v>
      </c>
      <c r="N325" t="s">
        <v>15</v>
      </c>
      <c r="O325" t="str" cm="1">
        <f t="array" ref="O325">_xlfn.IFS(D325&gt;120000, "High Income", D325&gt;=80000, "Average Income", D325&lt;80000, "Low Income")</f>
        <v>Low Income</v>
      </c>
      <c r="P325">
        <f>IF(Table24[[#This Row],[Purchased Bike]]="Yes",1,0)</f>
        <v>1</v>
      </c>
    </row>
    <row r="326" spans="1:16" x14ac:dyDescent="0.25">
      <c r="A326">
        <v>22930</v>
      </c>
      <c r="B326" t="s">
        <v>34</v>
      </c>
      <c r="C326" t="s">
        <v>34</v>
      </c>
      <c r="D326" s="2">
        <v>90000</v>
      </c>
      <c r="E326">
        <v>4</v>
      </c>
      <c r="F326" t="s">
        <v>13</v>
      </c>
      <c r="G326" t="s">
        <v>21</v>
      </c>
      <c r="H326" t="s">
        <v>15</v>
      </c>
      <c r="I326">
        <v>0</v>
      </c>
      <c r="J326" t="s">
        <v>26</v>
      </c>
      <c r="K326" t="s">
        <v>24</v>
      </c>
      <c r="L326">
        <v>38</v>
      </c>
      <c r="M326" t="str" cm="1">
        <f t="array" ref="M326">_xlfn.IFS(
L326&gt;50,"Old Age",
L326&gt;=31,"Middle Age",
L326&lt;31,"Young Age"
)</f>
        <v>Middle Age</v>
      </c>
      <c r="N326" t="s">
        <v>15</v>
      </c>
      <c r="O326" t="str" cm="1">
        <f t="array" ref="O326">_xlfn.IFS(D326&gt;120000, "High Income", D326&gt;=80000, "Average Income", D326&lt;80000, "Low Income")</f>
        <v>Average Income</v>
      </c>
      <c r="P326">
        <f>IF(Table24[[#This Row],[Purchased Bike]]="Yes",1,0)</f>
        <v>1</v>
      </c>
    </row>
    <row r="327" spans="1:16" x14ac:dyDescent="0.25">
      <c r="A327">
        <v>23780</v>
      </c>
      <c r="B327" t="s">
        <v>35</v>
      </c>
      <c r="C327" t="s">
        <v>34</v>
      </c>
      <c r="D327" s="2">
        <v>40000</v>
      </c>
      <c r="E327">
        <v>2</v>
      </c>
      <c r="F327" t="s">
        <v>19</v>
      </c>
      <c r="G327" t="s">
        <v>20</v>
      </c>
      <c r="H327" t="s">
        <v>18</v>
      </c>
      <c r="I327">
        <v>2</v>
      </c>
      <c r="J327" t="s">
        <v>16</v>
      </c>
      <c r="K327" t="s">
        <v>17</v>
      </c>
      <c r="L327">
        <v>36</v>
      </c>
      <c r="M327" t="str" cm="1">
        <f t="array" ref="M327">_xlfn.IFS(
L327&gt;50,"Old Age",
L327&gt;=31,"Middle Age",
L327&lt;31,"Young Age"
)</f>
        <v>Middle Age</v>
      </c>
      <c r="N327" t="s">
        <v>15</v>
      </c>
      <c r="O327" t="str" cm="1">
        <f t="array" ref="O327">_xlfn.IFS(D327&gt;120000, "High Income", D327&gt;=80000, "Average Income", D327&lt;80000, "Low Income")</f>
        <v>Low Income</v>
      </c>
      <c r="P327">
        <f>IF(Table24[[#This Row],[Purchased Bike]]="Yes",1,0)</f>
        <v>1</v>
      </c>
    </row>
    <row r="328" spans="1:16" hidden="1" x14ac:dyDescent="0.25">
      <c r="A328">
        <v>20994</v>
      </c>
      <c r="B328" t="s">
        <v>34</v>
      </c>
      <c r="C328" t="s">
        <v>33</v>
      </c>
      <c r="D328" s="2">
        <v>20000</v>
      </c>
      <c r="E328">
        <v>0</v>
      </c>
      <c r="F328" t="s">
        <v>13</v>
      </c>
      <c r="G328" t="s">
        <v>20</v>
      </c>
      <c r="H328" t="s">
        <v>18</v>
      </c>
      <c r="I328">
        <v>0</v>
      </c>
      <c r="J328" t="s">
        <v>16</v>
      </c>
      <c r="K328" t="s">
        <v>24</v>
      </c>
      <c r="L328">
        <v>26</v>
      </c>
      <c r="M328" t="str" cm="1">
        <f t="array" ref="M328">_xlfn.IFS(
L328&gt;50,"Old Age",
L328&gt;=31,"Middle Age",
L328&lt;31,"Young Age"
)</f>
        <v>Young Age</v>
      </c>
      <c r="N328" t="s">
        <v>15</v>
      </c>
      <c r="O328" t="str" cm="1">
        <f t="array" ref="O328">_xlfn.IFS(D328&gt;120000, "High Income", D328&gt;=80000, "Average Income", D328&lt;80000, "Low Income")</f>
        <v>Low Income</v>
      </c>
      <c r="P328">
        <f>IF(Table24[[#This Row],[Purchased Bike]]="Yes",1,0)</f>
        <v>1</v>
      </c>
    </row>
    <row r="329" spans="1:16" hidden="1" x14ac:dyDescent="0.25">
      <c r="A329">
        <v>28379</v>
      </c>
      <c r="B329" t="s">
        <v>34</v>
      </c>
      <c r="C329" t="s">
        <v>34</v>
      </c>
      <c r="D329" s="2">
        <v>30000</v>
      </c>
      <c r="E329">
        <v>1</v>
      </c>
      <c r="F329" t="s">
        <v>13</v>
      </c>
      <c r="G329" t="s">
        <v>14</v>
      </c>
      <c r="H329" t="s">
        <v>15</v>
      </c>
      <c r="I329">
        <v>2</v>
      </c>
      <c r="J329" t="s">
        <v>16</v>
      </c>
      <c r="K329" t="s">
        <v>17</v>
      </c>
      <c r="L329">
        <v>40</v>
      </c>
      <c r="M329" t="str" cm="1">
        <f t="array" ref="M329">_xlfn.IFS(
L329&gt;50,"Old Age",
L329&gt;=31,"Middle Age",
L329&lt;31,"Young Age"
)</f>
        <v>Middle Age</v>
      </c>
      <c r="N329" t="s">
        <v>18</v>
      </c>
      <c r="O329" t="str" cm="1">
        <f t="array" ref="O329">_xlfn.IFS(D329&gt;120000, "High Income", D329&gt;=80000, "Average Income", D329&lt;80000, "Low Income")</f>
        <v>Low Income</v>
      </c>
      <c r="P329">
        <f>IF(Table24[[#This Row],[Purchased Bike]]="Yes",1,0)</f>
        <v>0</v>
      </c>
    </row>
    <row r="330" spans="1:16" hidden="1" x14ac:dyDescent="0.25">
      <c r="A330">
        <v>14865</v>
      </c>
      <c r="B330" t="s">
        <v>35</v>
      </c>
      <c r="C330" t="s">
        <v>34</v>
      </c>
      <c r="D330" s="2">
        <v>40000</v>
      </c>
      <c r="E330">
        <v>2</v>
      </c>
      <c r="F330" t="s">
        <v>19</v>
      </c>
      <c r="G330" t="s">
        <v>20</v>
      </c>
      <c r="H330" t="s">
        <v>15</v>
      </c>
      <c r="I330">
        <v>2</v>
      </c>
      <c r="J330" t="s">
        <v>26</v>
      </c>
      <c r="K330" t="s">
        <v>17</v>
      </c>
      <c r="L330">
        <v>36</v>
      </c>
      <c r="M330" t="str" cm="1">
        <f t="array" ref="M330">_xlfn.IFS(
L330&gt;50,"Old Age",
L330&gt;=31,"Middle Age",
L330&lt;31,"Young Age"
)</f>
        <v>Middle Age</v>
      </c>
      <c r="N330" t="s">
        <v>18</v>
      </c>
      <c r="O330" t="str" cm="1">
        <f t="array" ref="O330">_xlfn.IFS(D330&gt;120000, "High Income", D330&gt;=80000, "Average Income", D330&lt;80000, "Low Income")</f>
        <v>Low Income</v>
      </c>
      <c r="P330">
        <f>IF(Table24[[#This Row],[Purchased Bike]]="Yes",1,0)</f>
        <v>0</v>
      </c>
    </row>
    <row r="331" spans="1:16" hidden="1" x14ac:dyDescent="0.25">
      <c r="A331">
        <v>12663</v>
      </c>
      <c r="B331" t="s">
        <v>34</v>
      </c>
      <c r="C331" t="s">
        <v>33</v>
      </c>
      <c r="D331" s="2">
        <v>90000</v>
      </c>
      <c r="E331">
        <v>5</v>
      </c>
      <c r="F331" t="s">
        <v>29</v>
      </c>
      <c r="G331" t="s">
        <v>14</v>
      </c>
      <c r="H331" t="s">
        <v>15</v>
      </c>
      <c r="I331">
        <v>2</v>
      </c>
      <c r="J331" t="s">
        <v>30</v>
      </c>
      <c r="K331" t="s">
        <v>17</v>
      </c>
      <c r="L331">
        <v>59</v>
      </c>
      <c r="M331" t="str" cm="1">
        <f t="array" ref="M331">_xlfn.IFS(
L331&gt;50,"Old Age",
L331&gt;=31,"Middle Age",
L331&lt;31,"Young Age"
)</f>
        <v>Old Age</v>
      </c>
      <c r="N331" t="s">
        <v>18</v>
      </c>
      <c r="O331" t="str" cm="1">
        <f t="array" ref="O331">_xlfn.IFS(D331&gt;120000, "High Income", D331&gt;=80000, "Average Income", D331&lt;80000, "Low Income")</f>
        <v>Average Income</v>
      </c>
      <c r="P331">
        <f>IF(Table24[[#This Row],[Purchased Bike]]="Yes",1,0)</f>
        <v>0</v>
      </c>
    </row>
    <row r="332" spans="1:16" hidden="1" x14ac:dyDescent="0.25">
      <c r="A332">
        <v>24898</v>
      </c>
      <c r="B332" t="s">
        <v>35</v>
      </c>
      <c r="C332" t="s">
        <v>33</v>
      </c>
      <c r="D332" s="2">
        <v>80000</v>
      </c>
      <c r="E332">
        <v>0</v>
      </c>
      <c r="F332" t="s">
        <v>13</v>
      </c>
      <c r="G332" t="s">
        <v>21</v>
      </c>
      <c r="H332" t="s">
        <v>15</v>
      </c>
      <c r="I332">
        <v>3</v>
      </c>
      <c r="J332" t="s">
        <v>30</v>
      </c>
      <c r="K332" t="s">
        <v>24</v>
      </c>
      <c r="L332">
        <v>32</v>
      </c>
      <c r="M332" t="str" cm="1">
        <f t="array" ref="M332">_xlfn.IFS(
L332&gt;50,"Old Age",
L332&gt;=31,"Middle Age",
L332&lt;31,"Young Age"
)</f>
        <v>Middle Age</v>
      </c>
      <c r="N332" t="s">
        <v>18</v>
      </c>
      <c r="O332" t="str" cm="1">
        <f t="array" ref="O332">_xlfn.IFS(D332&gt;120000, "High Income", D332&gt;=80000, "Average Income", D332&lt;80000, "Low Income")</f>
        <v>Average Income</v>
      </c>
      <c r="P332">
        <f>IF(Table24[[#This Row],[Purchased Bike]]="Yes",1,0)</f>
        <v>0</v>
      </c>
    </row>
    <row r="333" spans="1:16" hidden="1" x14ac:dyDescent="0.25">
      <c r="A333">
        <v>19508</v>
      </c>
      <c r="B333" t="s">
        <v>34</v>
      </c>
      <c r="C333" t="s">
        <v>34</v>
      </c>
      <c r="D333" s="2">
        <v>10000</v>
      </c>
      <c r="E333">
        <v>0</v>
      </c>
      <c r="F333" t="s">
        <v>29</v>
      </c>
      <c r="G333" t="s">
        <v>25</v>
      </c>
      <c r="H333" t="s">
        <v>18</v>
      </c>
      <c r="I333">
        <v>2</v>
      </c>
      <c r="J333" t="s">
        <v>16</v>
      </c>
      <c r="K333" t="s">
        <v>17</v>
      </c>
      <c r="L333">
        <v>30</v>
      </c>
      <c r="M333" t="str" cm="1">
        <f t="array" ref="M333">_xlfn.IFS(
L333&gt;50,"Old Age",
L333&gt;=31,"Middle Age",
L333&lt;31,"Young Age"
)</f>
        <v>Young Age</v>
      </c>
      <c r="N333" t="s">
        <v>18</v>
      </c>
      <c r="O333" t="str" cm="1">
        <f t="array" ref="O333">_xlfn.IFS(D333&gt;120000, "High Income", D333&gt;=80000, "Average Income", D333&lt;80000, "Low Income")</f>
        <v>Low Income</v>
      </c>
      <c r="P333">
        <f>IF(Table24[[#This Row],[Purchased Bike]]="Yes",1,0)</f>
        <v>0</v>
      </c>
    </row>
    <row r="334" spans="1:16" x14ac:dyDescent="0.25">
      <c r="A334">
        <v>11489</v>
      </c>
      <c r="B334" t="s">
        <v>35</v>
      </c>
      <c r="C334" t="s">
        <v>33</v>
      </c>
      <c r="D334" s="2">
        <v>20000</v>
      </c>
      <c r="E334">
        <v>0</v>
      </c>
      <c r="F334" t="s">
        <v>29</v>
      </c>
      <c r="G334" t="s">
        <v>25</v>
      </c>
      <c r="H334" t="s">
        <v>18</v>
      </c>
      <c r="I334">
        <v>2</v>
      </c>
      <c r="J334" t="s">
        <v>26</v>
      </c>
      <c r="K334" t="s">
        <v>17</v>
      </c>
      <c r="L334">
        <v>35</v>
      </c>
      <c r="M334" t="str" cm="1">
        <f t="array" ref="M334">_xlfn.IFS(
L334&gt;50,"Old Age",
L334&gt;=31,"Middle Age",
L334&lt;31,"Young Age"
)</f>
        <v>Middle Age</v>
      </c>
      <c r="N334" t="s">
        <v>15</v>
      </c>
      <c r="O334" t="str" cm="1">
        <f t="array" ref="O334">_xlfn.IFS(D334&gt;120000, "High Income", D334&gt;=80000, "Average Income", D334&lt;80000, "Low Income")</f>
        <v>Low Income</v>
      </c>
      <c r="P334">
        <f>IF(Table24[[#This Row],[Purchased Bike]]="Yes",1,0)</f>
        <v>1</v>
      </c>
    </row>
    <row r="335" spans="1:16" hidden="1" x14ac:dyDescent="0.25">
      <c r="A335">
        <v>18160</v>
      </c>
      <c r="B335" t="s">
        <v>34</v>
      </c>
      <c r="C335" t="s">
        <v>34</v>
      </c>
      <c r="D335" s="2">
        <v>130000</v>
      </c>
      <c r="E335">
        <v>3</v>
      </c>
      <c r="F335" t="s">
        <v>27</v>
      </c>
      <c r="G335" t="s">
        <v>21</v>
      </c>
      <c r="H335" t="s">
        <v>15</v>
      </c>
      <c r="I335">
        <v>4</v>
      </c>
      <c r="J335" t="s">
        <v>23</v>
      </c>
      <c r="K335" t="s">
        <v>17</v>
      </c>
      <c r="L335">
        <v>51</v>
      </c>
      <c r="M335" t="str" cm="1">
        <f t="array" ref="M335">_xlfn.IFS(
L335&gt;50,"Old Age",
L335&gt;=31,"Middle Age",
L335&lt;31,"Young Age"
)</f>
        <v>Old Age</v>
      </c>
      <c r="N335" t="s">
        <v>15</v>
      </c>
      <c r="O335" t="str" cm="1">
        <f t="array" ref="O335">_xlfn.IFS(D335&gt;120000, "High Income", D335&gt;=80000, "Average Income", D335&lt;80000, "Low Income")</f>
        <v>High Income</v>
      </c>
      <c r="P335">
        <f>IF(Table24[[#This Row],[Purchased Bike]]="Yes",1,0)</f>
        <v>1</v>
      </c>
    </row>
    <row r="336" spans="1:16" hidden="1" x14ac:dyDescent="0.25">
      <c r="A336">
        <v>25241</v>
      </c>
      <c r="B336" t="s">
        <v>34</v>
      </c>
      <c r="C336" t="s">
        <v>34</v>
      </c>
      <c r="D336" s="2">
        <v>90000</v>
      </c>
      <c r="E336">
        <v>2</v>
      </c>
      <c r="F336" t="s">
        <v>13</v>
      </c>
      <c r="G336" t="s">
        <v>21</v>
      </c>
      <c r="H336" t="s">
        <v>15</v>
      </c>
      <c r="I336">
        <v>1</v>
      </c>
      <c r="J336" t="s">
        <v>23</v>
      </c>
      <c r="K336" t="s">
        <v>24</v>
      </c>
      <c r="L336">
        <v>47</v>
      </c>
      <c r="M336" t="str" cm="1">
        <f t="array" ref="M336">_xlfn.IFS(
L336&gt;50,"Old Age",
L336&gt;=31,"Middle Age",
L336&lt;31,"Young Age"
)</f>
        <v>Middle Age</v>
      </c>
      <c r="N336" t="s">
        <v>18</v>
      </c>
      <c r="O336" t="str" cm="1">
        <f t="array" ref="O336">_xlfn.IFS(D336&gt;120000, "High Income", D336&gt;=80000, "Average Income", D336&lt;80000, "Low Income")</f>
        <v>Average Income</v>
      </c>
      <c r="P336">
        <f>IF(Table24[[#This Row],[Purchased Bike]]="Yes",1,0)</f>
        <v>0</v>
      </c>
    </row>
    <row r="337" spans="1:16" hidden="1" x14ac:dyDescent="0.25">
      <c r="A337">
        <v>24369</v>
      </c>
      <c r="B337" t="s">
        <v>34</v>
      </c>
      <c r="C337" t="s">
        <v>34</v>
      </c>
      <c r="D337" s="2">
        <v>80000</v>
      </c>
      <c r="E337">
        <v>5</v>
      </c>
      <c r="F337" t="s">
        <v>31</v>
      </c>
      <c r="G337" t="s">
        <v>28</v>
      </c>
      <c r="H337" t="s">
        <v>18</v>
      </c>
      <c r="I337">
        <v>2</v>
      </c>
      <c r="J337" t="s">
        <v>16</v>
      </c>
      <c r="K337" t="s">
        <v>24</v>
      </c>
      <c r="L337">
        <v>39</v>
      </c>
      <c r="M337" t="str" cm="1">
        <f t="array" ref="M337">_xlfn.IFS(
L337&gt;50,"Old Age",
L337&gt;=31,"Middle Age",
L337&lt;31,"Young Age"
)</f>
        <v>Middle Age</v>
      </c>
      <c r="N337" t="s">
        <v>18</v>
      </c>
      <c r="O337" t="str" cm="1">
        <f t="array" ref="O337">_xlfn.IFS(D337&gt;120000, "High Income", D337&gt;=80000, "Average Income", D337&lt;80000, "Low Income")</f>
        <v>Average Income</v>
      </c>
      <c r="P337">
        <f>IF(Table24[[#This Row],[Purchased Bike]]="Yes",1,0)</f>
        <v>0</v>
      </c>
    </row>
    <row r="338" spans="1:16" hidden="1" x14ac:dyDescent="0.25">
      <c r="A338">
        <v>27165</v>
      </c>
      <c r="B338" t="s">
        <v>35</v>
      </c>
      <c r="C338" t="s">
        <v>34</v>
      </c>
      <c r="D338" s="2">
        <v>20000</v>
      </c>
      <c r="E338">
        <v>0</v>
      </c>
      <c r="F338" t="s">
        <v>29</v>
      </c>
      <c r="G338" t="s">
        <v>25</v>
      </c>
      <c r="H338" t="s">
        <v>18</v>
      </c>
      <c r="I338">
        <v>2</v>
      </c>
      <c r="J338" t="s">
        <v>16</v>
      </c>
      <c r="K338" t="s">
        <v>17</v>
      </c>
      <c r="L338">
        <v>34</v>
      </c>
      <c r="M338" t="str" cm="1">
        <f t="array" ref="M338">_xlfn.IFS(
L338&gt;50,"Old Age",
L338&gt;=31,"Middle Age",
L338&lt;31,"Young Age"
)</f>
        <v>Middle Age</v>
      </c>
      <c r="N338" t="s">
        <v>18</v>
      </c>
      <c r="O338" t="str" cm="1">
        <f t="array" ref="O338">_xlfn.IFS(D338&gt;120000, "High Income", D338&gt;=80000, "Average Income", D338&lt;80000, "Low Income")</f>
        <v>Low Income</v>
      </c>
      <c r="P338">
        <f>IF(Table24[[#This Row],[Purchased Bike]]="Yes",1,0)</f>
        <v>0</v>
      </c>
    </row>
    <row r="339" spans="1:16" hidden="1" x14ac:dyDescent="0.25">
      <c r="A339">
        <v>29424</v>
      </c>
      <c r="B339" t="s">
        <v>34</v>
      </c>
      <c r="C339" t="s">
        <v>34</v>
      </c>
      <c r="D339" s="2">
        <v>10000</v>
      </c>
      <c r="E339">
        <v>0</v>
      </c>
      <c r="F339" t="s">
        <v>29</v>
      </c>
      <c r="G339" t="s">
        <v>25</v>
      </c>
      <c r="H339" t="s">
        <v>15</v>
      </c>
      <c r="I339">
        <v>2</v>
      </c>
      <c r="J339" t="s">
        <v>16</v>
      </c>
      <c r="K339" t="s">
        <v>17</v>
      </c>
      <c r="L339">
        <v>32</v>
      </c>
      <c r="M339" t="str" cm="1">
        <f t="array" ref="M339">_xlfn.IFS(
L339&gt;50,"Old Age",
L339&gt;=31,"Middle Age",
L339&lt;31,"Young Age"
)</f>
        <v>Middle Age</v>
      </c>
      <c r="N339" t="s">
        <v>18</v>
      </c>
      <c r="O339" t="str" cm="1">
        <f t="array" ref="O339">_xlfn.IFS(D339&gt;120000, "High Income", D339&gt;=80000, "Average Income", D339&lt;80000, "Low Income")</f>
        <v>Low Income</v>
      </c>
      <c r="P339">
        <f>IF(Table24[[#This Row],[Purchased Bike]]="Yes",1,0)</f>
        <v>0</v>
      </c>
    </row>
    <row r="340" spans="1:16" x14ac:dyDescent="0.25">
      <c r="A340">
        <v>15926</v>
      </c>
      <c r="B340" t="s">
        <v>35</v>
      </c>
      <c r="C340" t="s">
        <v>33</v>
      </c>
      <c r="D340" s="2">
        <v>120000</v>
      </c>
      <c r="E340">
        <v>3</v>
      </c>
      <c r="F340" t="s">
        <v>27</v>
      </c>
      <c r="G340" t="s">
        <v>21</v>
      </c>
      <c r="H340" t="s">
        <v>15</v>
      </c>
      <c r="I340">
        <v>4</v>
      </c>
      <c r="J340" t="s">
        <v>23</v>
      </c>
      <c r="K340" t="s">
        <v>17</v>
      </c>
      <c r="L340">
        <v>50</v>
      </c>
      <c r="M340" t="str" cm="1">
        <f t="array" ref="M340">_xlfn.IFS(
L340&gt;50,"Old Age",
L340&gt;=31,"Middle Age",
L340&lt;31,"Young Age"
)</f>
        <v>Middle Age</v>
      </c>
      <c r="N340" t="s">
        <v>15</v>
      </c>
      <c r="O340" t="str" cm="1">
        <f t="array" ref="O340">_xlfn.IFS(D340&gt;120000, "High Income", D340&gt;=80000, "Average Income", D340&lt;80000, "Low Income")</f>
        <v>Average Income</v>
      </c>
      <c r="P340">
        <f>IF(Table24[[#This Row],[Purchased Bike]]="Yes",1,0)</f>
        <v>1</v>
      </c>
    </row>
    <row r="341" spans="1:16" hidden="1" x14ac:dyDescent="0.25">
      <c r="A341">
        <v>14554</v>
      </c>
      <c r="B341" t="s">
        <v>34</v>
      </c>
      <c r="C341" t="s">
        <v>34</v>
      </c>
      <c r="D341" s="2">
        <v>20000</v>
      </c>
      <c r="E341">
        <v>1</v>
      </c>
      <c r="F341" t="s">
        <v>13</v>
      </c>
      <c r="G341" t="s">
        <v>20</v>
      </c>
      <c r="H341" t="s">
        <v>15</v>
      </c>
      <c r="I341">
        <v>0</v>
      </c>
      <c r="J341" t="s">
        <v>16</v>
      </c>
      <c r="K341" t="s">
        <v>17</v>
      </c>
      <c r="L341">
        <v>66</v>
      </c>
      <c r="M341" t="str" cm="1">
        <f t="array" ref="M341">_xlfn.IFS(
L341&gt;50,"Old Age",
L341&gt;=31,"Middle Age",
L341&lt;31,"Young Age"
)</f>
        <v>Old Age</v>
      </c>
      <c r="N341" t="s">
        <v>18</v>
      </c>
      <c r="O341" t="str" cm="1">
        <f t="array" ref="O341">_xlfn.IFS(D341&gt;120000, "High Income", D341&gt;=80000, "Average Income", D341&lt;80000, "Low Income")</f>
        <v>Low Income</v>
      </c>
      <c r="P341">
        <f>IF(Table24[[#This Row],[Purchased Bike]]="Yes",1,0)</f>
        <v>0</v>
      </c>
    </row>
    <row r="342" spans="1:16" hidden="1" x14ac:dyDescent="0.25">
      <c r="A342">
        <v>16468</v>
      </c>
      <c r="B342" t="s">
        <v>35</v>
      </c>
      <c r="C342" t="s">
        <v>34</v>
      </c>
      <c r="D342" s="2">
        <v>30000</v>
      </c>
      <c r="E342">
        <v>0</v>
      </c>
      <c r="F342" t="s">
        <v>19</v>
      </c>
      <c r="G342" t="s">
        <v>20</v>
      </c>
      <c r="H342" t="s">
        <v>15</v>
      </c>
      <c r="I342">
        <v>1</v>
      </c>
      <c r="J342" t="s">
        <v>22</v>
      </c>
      <c r="K342" t="s">
        <v>17</v>
      </c>
      <c r="L342">
        <v>30</v>
      </c>
      <c r="M342" t="str" cm="1">
        <f t="array" ref="M342">_xlfn.IFS(
L342&gt;50,"Old Age",
L342&gt;=31,"Middle Age",
L342&lt;31,"Young Age"
)</f>
        <v>Young Age</v>
      </c>
      <c r="N342" t="s">
        <v>18</v>
      </c>
      <c r="O342" t="str" cm="1">
        <f t="array" ref="O342">_xlfn.IFS(D342&gt;120000, "High Income", D342&gt;=80000, "Average Income", D342&lt;80000, "Low Income")</f>
        <v>Low Income</v>
      </c>
      <c r="P342">
        <f>IF(Table24[[#This Row],[Purchased Bike]]="Yes",1,0)</f>
        <v>0</v>
      </c>
    </row>
    <row r="343" spans="1:16" x14ac:dyDescent="0.25">
      <c r="A343">
        <v>19174</v>
      </c>
      <c r="B343" t="s">
        <v>35</v>
      </c>
      <c r="C343" t="s">
        <v>33</v>
      </c>
      <c r="D343" s="2">
        <v>30000</v>
      </c>
      <c r="E343">
        <v>0</v>
      </c>
      <c r="F343" t="s">
        <v>27</v>
      </c>
      <c r="G343" t="s">
        <v>25</v>
      </c>
      <c r="H343" t="s">
        <v>18</v>
      </c>
      <c r="I343">
        <v>1</v>
      </c>
      <c r="J343" t="s">
        <v>22</v>
      </c>
      <c r="K343" t="s">
        <v>17</v>
      </c>
      <c r="L343">
        <v>32</v>
      </c>
      <c r="M343" t="str" cm="1">
        <f t="array" ref="M343">_xlfn.IFS(
L343&gt;50,"Old Age",
L343&gt;=31,"Middle Age",
L343&lt;31,"Young Age"
)</f>
        <v>Middle Age</v>
      </c>
      <c r="N343" t="s">
        <v>15</v>
      </c>
      <c r="O343" t="str" cm="1">
        <f t="array" ref="O343">_xlfn.IFS(D343&gt;120000, "High Income", D343&gt;=80000, "Average Income", D343&lt;80000, "Low Income")</f>
        <v>Low Income</v>
      </c>
      <c r="P343">
        <f>IF(Table24[[#This Row],[Purchased Bike]]="Yes",1,0)</f>
        <v>1</v>
      </c>
    </row>
    <row r="344" spans="1:16" hidden="1" x14ac:dyDescent="0.25">
      <c r="A344">
        <v>19183</v>
      </c>
      <c r="B344" t="s">
        <v>35</v>
      </c>
      <c r="C344" t="s">
        <v>34</v>
      </c>
      <c r="D344" s="2">
        <v>10000</v>
      </c>
      <c r="E344">
        <v>0</v>
      </c>
      <c r="F344" t="s">
        <v>29</v>
      </c>
      <c r="G344" t="s">
        <v>25</v>
      </c>
      <c r="H344" t="s">
        <v>15</v>
      </c>
      <c r="I344">
        <v>2</v>
      </c>
      <c r="J344" t="s">
        <v>26</v>
      </c>
      <c r="K344" t="s">
        <v>17</v>
      </c>
      <c r="L344">
        <v>35</v>
      </c>
      <c r="M344" t="str" cm="1">
        <f t="array" ref="M344">_xlfn.IFS(
L344&gt;50,"Old Age",
L344&gt;=31,"Middle Age",
L344&lt;31,"Young Age"
)</f>
        <v>Middle Age</v>
      </c>
      <c r="N344" t="s">
        <v>18</v>
      </c>
      <c r="O344" t="str" cm="1">
        <f t="array" ref="O344">_xlfn.IFS(D344&gt;120000, "High Income", D344&gt;=80000, "Average Income", D344&lt;80000, "Low Income")</f>
        <v>Low Income</v>
      </c>
      <c r="P344">
        <f>IF(Table24[[#This Row],[Purchased Bike]]="Yes",1,0)</f>
        <v>0</v>
      </c>
    </row>
    <row r="345" spans="1:16" hidden="1" x14ac:dyDescent="0.25">
      <c r="A345">
        <v>13683</v>
      </c>
      <c r="B345" t="s">
        <v>35</v>
      </c>
      <c r="C345" t="s">
        <v>33</v>
      </c>
      <c r="D345" s="2">
        <v>30000</v>
      </c>
      <c r="E345">
        <v>0</v>
      </c>
      <c r="F345" t="s">
        <v>27</v>
      </c>
      <c r="G345" t="s">
        <v>25</v>
      </c>
      <c r="H345" t="s">
        <v>18</v>
      </c>
      <c r="I345">
        <v>1</v>
      </c>
      <c r="J345" t="s">
        <v>22</v>
      </c>
      <c r="K345" t="s">
        <v>17</v>
      </c>
      <c r="L345">
        <v>32</v>
      </c>
      <c r="M345" t="str" cm="1">
        <f t="array" ref="M345">_xlfn.IFS(
L345&gt;50,"Old Age",
L345&gt;=31,"Middle Age",
L345&lt;31,"Young Age"
)</f>
        <v>Middle Age</v>
      </c>
      <c r="N345" t="s">
        <v>18</v>
      </c>
      <c r="O345" t="str" cm="1">
        <f t="array" ref="O345">_xlfn.IFS(D345&gt;120000, "High Income", D345&gt;=80000, "Average Income", D345&lt;80000, "Low Income")</f>
        <v>Low Income</v>
      </c>
      <c r="P345">
        <f>IF(Table24[[#This Row],[Purchased Bike]]="Yes",1,0)</f>
        <v>0</v>
      </c>
    </row>
    <row r="346" spans="1:16" x14ac:dyDescent="0.25">
      <c r="A346">
        <v>17848</v>
      </c>
      <c r="B346" t="s">
        <v>35</v>
      </c>
      <c r="C346" t="s">
        <v>34</v>
      </c>
      <c r="D346" s="2">
        <v>30000</v>
      </c>
      <c r="E346">
        <v>0</v>
      </c>
      <c r="F346" t="s">
        <v>19</v>
      </c>
      <c r="G346" t="s">
        <v>20</v>
      </c>
      <c r="H346" t="s">
        <v>18</v>
      </c>
      <c r="I346">
        <v>1</v>
      </c>
      <c r="J346" t="s">
        <v>22</v>
      </c>
      <c r="K346" t="s">
        <v>17</v>
      </c>
      <c r="L346">
        <v>31</v>
      </c>
      <c r="M346" t="str" cm="1">
        <f t="array" ref="M346">_xlfn.IFS(
L346&gt;50,"Old Age",
L346&gt;=31,"Middle Age",
L346&lt;31,"Young Age"
)</f>
        <v>Middle Age</v>
      </c>
      <c r="N346" t="s">
        <v>15</v>
      </c>
      <c r="O346" t="str" cm="1">
        <f t="array" ref="O346">_xlfn.IFS(D346&gt;120000, "High Income", D346&gt;=80000, "Average Income", D346&lt;80000, "Low Income")</f>
        <v>Low Income</v>
      </c>
      <c r="P346">
        <f>IF(Table24[[#This Row],[Purchased Bike]]="Yes",1,0)</f>
        <v>1</v>
      </c>
    </row>
    <row r="347" spans="1:16" x14ac:dyDescent="0.25">
      <c r="A347">
        <v>17894</v>
      </c>
      <c r="B347" t="s">
        <v>34</v>
      </c>
      <c r="C347" t="s">
        <v>33</v>
      </c>
      <c r="D347" s="2">
        <v>20000</v>
      </c>
      <c r="E347">
        <v>1</v>
      </c>
      <c r="F347" t="s">
        <v>13</v>
      </c>
      <c r="G347" t="s">
        <v>20</v>
      </c>
      <c r="H347" t="s">
        <v>15</v>
      </c>
      <c r="I347">
        <v>0</v>
      </c>
      <c r="J347" t="s">
        <v>16</v>
      </c>
      <c r="K347" t="s">
        <v>17</v>
      </c>
      <c r="L347">
        <v>50</v>
      </c>
      <c r="M347" t="str" cm="1">
        <f t="array" ref="M347">_xlfn.IFS(
L347&gt;50,"Old Age",
L347&gt;=31,"Middle Age",
L347&lt;31,"Young Age"
)</f>
        <v>Middle Age</v>
      </c>
      <c r="N347" t="s">
        <v>15</v>
      </c>
      <c r="O347" t="str" cm="1">
        <f t="array" ref="O347">_xlfn.IFS(D347&gt;120000, "High Income", D347&gt;=80000, "Average Income", D347&lt;80000, "Low Income")</f>
        <v>Low Income</v>
      </c>
      <c r="P347">
        <f>IF(Table24[[#This Row],[Purchased Bike]]="Yes",1,0)</f>
        <v>1</v>
      </c>
    </row>
    <row r="348" spans="1:16" x14ac:dyDescent="0.25">
      <c r="A348">
        <v>25651</v>
      </c>
      <c r="B348" t="s">
        <v>34</v>
      </c>
      <c r="C348" t="s">
        <v>34</v>
      </c>
      <c r="D348" s="2">
        <v>40000</v>
      </c>
      <c r="E348">
        <v>1</v>
      </c>
      <c r="F348" t="s">
        <v>13</v>
      </c>
      <c r="G348" t="s">
        <v>14</v>
      </c>
      <c r="H348" t="s">
        <v>18</v>
      </c>
      <c r="I348">
        <v>0</v>
      </c>
      <c r="J348" t="s">
        <v>16</v>
      </c>
      <c r="K348" t="s">
        <v>17</v>
      </c>
      <c r="L348">
        <v>43</v>
      </c>
      <c r="M348" t="str" cm="1">
        <f t="array" ref="M348">_xlfn.IFS(
L348&gt;50,"Old Age",
L348&gt;=31,"Middle Age",
L348&lt;31,"Young Age"
)</f>
        <v>Middle Age</v>
      </c>
      <c r="N348" t="s">
        <v>15</v>
      </c>
      <c r="O348" t="str" cm="1">
        <f t="array" ref="O348">_xlfn.IFS(D348&gt;120000, "High Income", D348&gt;=80000, "Average Income", D348&lt;80000, "Low Income")</f>
        <v>Low Income</v>
      </c>
      <c r="P348">
        <f>IF(Table24[[#This Row],[Purchased Bike]]="Yes",1,0)</f>
        <v>1</v>
      </c>
    </row>
    <row r="349" spans="1:16" x14ac:dyDescent="0.25">
      <c r="A349">
        <v>22936</v>
      </c>
      <c r="B349" t="s">
        <v>35</v>
      </c>
      <c r="C349" t="s">
        <v>33</v>
      </c>
      <c r="D349" s="2">
        <v>60000</v>
      </c>
      <c r="E349">
        <v>1</v>
      </c>
      <c r="F349" t="s">
        <v>19</v>
      </c>
      <c r="G349" t="s">
        <v>14</v>
      </c>
      <c r="H349" t="s">
        <v>18</v>
      </c>
      <c r="I349">
        <v>1</v>
      </c>
      <c r="J349" t="s">
        <v>16</v>
      </c>
      <c r="K349" t="s">
        <v>24</v>
      </c>
      <c r="L349">
        <v>45</v>
      </c>
      <c r="M349" t="str" cm="1">
        <f t="array" ref="M349">_xlfn.IFS(
L349&gt;50,"Old Age",
L349&gt;=31,"Middle Age",
L349&lt;31,"Young Age"
)</f>
        <v>Middle Age</v>
      </c>
      <c r="N349" t="s">
        <v>15</v>
      </c>
      <c r="O349" t="str" cm="1">
        <f t="array" ref="O349">_xlfn.IFS(D349&gt;120000, "High Income", D349&gt;=80000, "Average Income", D349&lt;80000, "Low Income")</f>
        <v>Low Income</v>
      </c>
      <c r="P349">
        <f>IF(Table24[[#This Row],[Purchased Bike]]="Yes",1,0)</f>
        <v>1</v>
      </c>
    </row>
    <row r="350" spans="1:16" hidden="1" x14ac:dyDescent="0.25">
      <c r="A350">
        <v>23915</v>
      </c>
      <c r="B350" t="s">
        <v>34</v>
      </c>
      <c r="C350" t="s">
        <v>34</v>
      </c>
      <c r="D350" s="2">
        <v>20000</v>
      </c>
      <c r="E350">
        <v>2</v>
      </c>
      <c r="F350" t="s">
        <v>27</v>
      </c>
      <c r="G350" t="s">
        <v>25</v>
      </c>
      <c r="H350" t="s">
        <v>15</v>
      </c>
      <c r="I350">
        <v>2</v>
      </c>
      <c r="J350" t="s">
        <v>16</v>
      </c>
      <c r="K350" t="s">
        <v>17</v>
      </c>
      <c r="L350">
        <v>42</v>
      </c>
      <c r="M350" t="str" cm="1">
        <f t="array" ref="M350">_xlfn.IFS(
L350&gt;50,"Old Age",
L350&gt;=31,"Middle Age",
L350&lt;31,"Young Age"
)</f>
        <v>Middle Age</v>
      </c>
      <c r="N350" t="s">
        <v>18</v>
      </c>
      <c r="O350" t="str" cm="1">
        <f t="array" ref="O350">_xlfn.IFS(D350&gt;120000, "High Income", D350&gt;=80000, "Average Income", D350&lt;80000, "Low Income")</f>
        <v>Low Income</v>
      </c>
      <c r="P350">
        <f>IF(Table24[[#This Row],[Purchased Bike]]="Yes",1,0)</f>
        <v>0</v>
      </c>
    </row>
    <row r="351" spans="1:16" hidden="1" x14ac:dyDescent="0.25">
      <c r="A351">
        <v>24121</v>
      </c>
      <c r="B351" t="s">
        <v>35</v>
      </c>
      <c r="C351" t="s">
        <v>33</v>
      </c>
      <c r="D351" s="2">
        <v>30000</v>
      </c>
      <c r="E351">
        <v>0</v>
      </c>
      <c r="F351" t="s">
        <v>19</v>
      </c>
      <c r="G351" t="s">
        <v>20</v>
      </c>
      <c r="H351" t="s">
        <v>18</v>
      </c>
      <c r="I351">
        <v>1</v>
      </c>
      <c r="J351" t="s">
        <v>16</v>
      </c>
      <c r="K351" t="s">
        <v>17</v>
      </c>
      <c r="L351">
        <v>29</v>
      </c>
      <c r="M351" t="str" cm="1">
        <f t="array" ref="M351">_xlfn.IFS(
L351&gt;50,"Old Age",
L351&gt;=31,"Middle Age",
L351&lt;31,"Young Age"
)</f>
        <v>Young Age</v>
      </c>
      <c r="N351" t="s">
        <v>15</v>
      </c>
      <c r="O351" t="str" cm="1">
        <f t="array" ref="O351">_xlfn.IFS(D351&gt;120000, "High Income", D351&gt;=80000, "Average Income", D351&lt;80000, "Low Income")</f>
        <v>Low Income</v>
      </c>
      <c r="P351">
        <f>IF(Table24[[#This Row],[Purchased Bike]]="Yes",1,0)</f>
        <v>1</v>
      </c>
    </row>
    <row r="352" spans="1:16" hidden="1" x14ac:dyDescent="0.25">
      <c r="A352">
        <v>27878</v>
      </c>
      <c r="B352" t="s">
        <v>35</v>
      </c>
      <c r="C352" t="s">
        <v>34</v>
      </c>
      <c r="D352" s="2">
        <v>20000</v>
      </c>
      <c r="E352">
        <v>0</v>
      </c>
      <c r="F352" t="s">
        <v>19</v>
      </c>
      <c r="G352" t="s">
        <v>25</v>
      </c>
      <c r="H352" t="s">
        <v>18</v>
      </c>
      <c r="I352">
        <v>0</v>
      </c>
      <c r="J352" t="s">
        <v>16</v>
      </c>
      <c r="K352" t="s">
        <v>24</v>
      </c>
      <c r="L352">
        <v>28</v>
      </c>
      <c r="M352" t="str" cm="1">
        <f t="array" ref="M352">_xlfn.IFS(
L352&gt;50,"Old Age",
L352&gt;=31,"Middle Age",
L352&lt;31,"Young Age"
)</f>
        <v>Young Age</v>
      </c>
      <c r="N352" t="s">
        <v>15</v>
      </c>
      <c r="O352" t="str" cm="1">
        <f t="array" ref="O352">_xlfn.IFS(D352&gt;120000, "High Income", D352&gt;=80000, "Average Income", D352&lt;80000, "Low Income")</f>
        <v>Low Income</v>
      </c>
      <c r="P352">
        <f>IF(Table24[[#This Row],[Purchased Bike]]="Yes",1,0)</f>
        <v>1</v>
      </c>
    </row>
    <row r="353" spans="1:16" x14ac:dyDescent="0.25">
      <c r="A353">
        <v>13572</v>
      </c>
      <c r="B353" t="s">
        <v>35</v>
      </c>
      <c r="C353" t="s">
        <v>34</v>
      </c>
      <c r="D353" s="2">
        <v>10000</v>
      </c>
      <c r="E353">
        <v>3</v>
      </c>
      <c r="F353" t="s">
        <v>27</v>
      </c>
      <c r="G353" t="s">
        <v>25</v>
      </c>
      <c r="H353" t="s">
        <v>15</v>
      </c>
      <c r="I353">
        <v>0</v>
      </c>
      <c r="J353" t="s">
        <v>16</v>
      </c>
      <c r="K353" t="s">
        <v>17</v>
      </c>
      <c r="L353">
        <v>37</v>
      </c>
      <c r="M353" t="str" cm="1">
        <f t="array" ref="M353">_xlfn.IFS(
L353&gt;50,"Old Age",
L353&gt;=31,"Middle Age",
L353&lt;31,"Young Age"
)</f>
        <v>Middle Age</v>
      </c>
      <c r="N353" t="s">
        <v>15</v>
      </c>
      <c r="O353" t="str" cm="1">
        <f t="array" ref="O353">_xlfn.IFS(D353&gt;120000, "High Income", D353&gt;=80000, "Average Income", D353&lt;80000, "Low Income")</f>
        <v>Low Income</v>
      </c>
      <c r="P353">
        <f>IF(Table24[[#This Row],[Purchased Bike]]="Yes",1,0)</f>
        <v>1</v>
      </c>
    </row>
    <row r="354" spans="1:16" hidden="1" x14ac:dyDescent="0.25">
      <c r="A354">
        <v>27941</v>
      </c>
      <c r="B354" t="s">
        <v>34</v>
      </c>
      <c r="C354" t="s">
        <v>33</v>
      </c>
      <c r="D354" s="2">
        <v>80000</v>
      </c>
      <c r="E354">
        <v>4</v>
      </c>
      <c r="F354" t="s">
        <v>19</v>
      </c>
      <c r="G354" t="s">
        <v>21</v>
      </c>
      <c r="H354" t="s">
        <v>15</v>
      </c>
      <c r="I354">
        <v>2</v>
      </c>
      <c r="J354" t="s">
        <v>22</v>
      </c>
      <c r="K354" t="s">
        <v>17</v>
      </c>
      <c r="L354">
        <v>53</v>
      </c>
      <c r="M354" t="str" cm="1">
        <f t="array" ref="M354">_xlfn.IFS(
L354&gt;50,"Old Age",
L354&gt;=31,"Middle Age",
L354&lt;31,"Young Age"
)</f>
        <v>Old Age</v>
      </c>
      <c r="N354" t="s">
        <v>18</v>
      </c>
      <c r="O354" t="str" cm="1">
        <f t="array" ref="O354">_xlfn.IFS(D354&gt;120000, "High Income", D354&gt;=80000, "Average Income", D354&lt;80000, "Low Income")</f>
        <v>Average Income</v>
      </c>
      <c r="P354">
        <f>IF(Table24[[#This Row],[Purchased Bike]]="Yes",1,0)</f>
        <v>0</v>
      </c>
    </row>
    <row r="355" spans="1:16" x14ac:dyDescent="0.25">
      <c r="A355">
        <v>26354</v>
      </c>
      <c r="B355" t="s">
        <v>35</v>
      </c>
      <c r="C355" t="s">
        <v>34</v>
      </c>
      <c r="D355" s="2">
        <v>40000</v>
      </c>
      <c r="E355">
        <v>0</v>
      </c>
      <c r="F355" t="s">
        <v>31</v>
      </c>
      <c r="G355" t="s">
        <v>20</v>
      </c>
      <c r="H355" t="s">
        <v>18</v>
      </c>
      <c r="I355">
        <v>0</v>
      </c>
      <c r="J355" t="s">
        <v>16</v>
      </c>
      <c r="K355" t="s">
        <v>17</v>
      </c>
      <c r="L355">
        <v>38</v>
      </c>
      <c r="M355" t="str" cm="1">
        <f t="array" ref="M355">_xlfn.IFS(
L355&gt;50,"Old Age",
L355&gt;=31,"Middle Age",
L355&lt;31,"Young Age"
)</f>
        <v>Middle Age</v>
      </c>
      <c r="N355" t="s">
        <v>15</v>
      </c>
      <c r="O355" t="str" cm="1">
        <f t="array" ref="O355">_xlfn.IFS(D355&gt;120000, "High Income", D355&gt;=80000, "Average Income", D355&lt;80000, "Low Income")</f>
        <v>Low Income</v>
      </c>
      <c r="P355">
        <f>IF(Table24[[#This Row],[Purchased Bike]]="Yes",1,0)</f>
        <v>1</v>
      </c>
    </row>
    <row r="356" spans="1:16" hidden="1" x14ac:dyDescent="0.25">
      <c r="A356">
        <v>14785</v>
      </c>
      <c r="B356" t="s">
        <v>35</v>
      </c>
      <c r="C356" t="s">
        <v>34</v>
      </c>
      <c r="D356" s="2">
        <v>30000</v>
      </c>
      <c r="E356">
        <v>1</v>
      </c>
      <c r="F356" t="s">
        <v>13</v>
      </c>
      <c r="G356" t="s">
        <v>20</v>
      </c>
      <c r="H356" t="s">
        <v>18</v>
      </c>
      <c r="I356">
        <v>1</v>
      </c>
      <c r="J356" t="s">
        <v>26</v>
      </c>
      <c r="K356" t="s">
        <v>17</v>
      </c>
      <c r="L356">
        <v>39</v>
      </c>
      <c r="M356" t="str" cm="1">
        <f t="array" ref="M356">_xlfn.IFS(
L356&gt;50,"Old Age",
L356&gt;=31,"Middle Age",
L356&lt;31,"Young Age"
)</f>
        <v>Middle Age</v>
      </c>
      <c r="N356" t="s">
        <v>18</v>
      </c>
      <c r="O356" t="str" cm="1">
        <f t="array" ref="O356">_xlfn.IFS(D356&gt;120000, "High Income", D356&gt;=80000, "Average Income", D356&lt;80000, "Low Income")</f>
        <v>Low Income</v>
      </c>
      <c r="P356">
        <f>IF(Table24[[#This Row],[Purchased Bike]]="Yes",1,0)</f>
        <v>0</v>
      </c>
    </row>
    <row r="357" spans="1:16" hidden="1" x14ac:dyDescent="0.25">
      <c r="A357">
        <v>17238</v>
      </c>
      <c r="B357" t="s">
        <v>35</v>
      </c>
      <c r="C357" t="s">
        <v>34</v>
      </c>
      <c r="D357" s="2">
        <v>80000</v>
      </c>
      <c r="E357">
        <v>0</v>
      </c>
      <c r="F357" t="s">
        <v>13</v>
      </c>
      <c r="G357" t="s">
        <v>21</v>
      </c>
      <c r="H357" t="s">
        <v>15</v>
      </c>
      <c r="I357">
        <v>3</v>
      </c>
      <c r="J357" t="s">
        <v>30</v>
      </c>
      <c r="K357" t="s">
        <v>24</v>
      </c>
      <c r="L357">
        <v>32</v>
      </c>
      <c r="M357" t="str" cm="1">
        <f t="array" ref="M357">_xlfn.IFS(
L357&gt;50,"Old Age",
L357&gt;=31,"Middle Age",
L357&lt;31,"Young Age"
)</f>
        <v>Middle Age</v>
      </c>
      <c r="N357" t="s">
        <v>18</v>
      </c>
      <c r="O357" t="str" cm="1">
        <f t="array" ref="O357">_xlfn.IFS(D357&gt;120000, "High Income", D357&gt;=80000, "Average Income", D357&lt;80000, "Low Income")</f>
        <v>Average Income</v>
      </c>
      <c r="P357">
        <f>IF(Table24[[#This Row],[Purchased Bike]]="Yes",1,0)</f>
        <v>0</v>
      </c>
    </row>
    <row r="358" spans="1:16" hidden="1" x14ac:dyDescent="0.25">
      <c r="A358">
        <v>23608</v>
      </c>
      <c r="B358" t="s">
        <v>34</v>
      </c>
      <c r="C358" t="s">
        <v>33</v>
      </c>
      <c r="D358" s="2">
        <v>150000</v>
      </c>
      <c r="E358">
        <v>3</v>
      </c>
      <c r="F358" t="s">
        <v>27</v>
      </c>
      <c r="G358" t="s">
        <v>21</v>
      </c>
      <c r="H358" t="s">
        <v>15</v>
      </c>
      <c r="I358">
        <v>3</v>
      </c>
      <c r="J358" t="s">
        <v>16</v>
      </c>
      <c r="K358" t="s">
        <v>17</v>
      </c>
      <c r="L358">
        <v>51</v>
      </c>
      <c r="M358" t="str" cm="1">
        <f t="array" ref="M358">_xlfn.IFS(
L358&gt;50,"Old Age",
L358&gt;=31,"Middle Age",
L358&lt;31,"Young Age"
)</f>
        <v>Old Age</v>
      </c>
      <c r="N358" t="s">
        <v>15</v>
      </c>
      <c r="O358" t="str" cm="1">
        <f t="array" ref="O358">_xlfn.IFS(D358&gt;120000, "High Income", D358&gt;=80000, "Average Income", D358&lt;80000, "Low Income")</f>
        <v>High Income</v>
      </c>
      <c r="P358">
        <f>IF(Table24[[#This Row],[Purchased Bike]]="Yes",1,0)</f>
        <v>1</v>
      </c>
    </row>
    <row r="359" spans="1:16" hidden="1" x14ac:dyDescent="0.25">
      <c r="A359">
        <v>22538</v>
      </c>
      <c r="B359" t="s">
        <v>35</v>
      </c>
      <c r="C359" t="s">
        <v>33</v>
      </c>
      <c r="D359" s="2">
        <v>10000</v>
      </c>
      <c r="E359">
        <v>0</v>
      </c>
      <c r="F359" t="s">
        <v>29</v>
      </c>
      <c r="G359" t="s">
        <v>25</v>
      </c>
      <c r="H359" t="s">
        <v>15</v>
      </c>
      <c r="I359">
        <v>2</v>
      </c>
      <c r="J359" t="s">
        <v>26</v>
      </c>
      <c r="K359" t="s">
        <v>17</v>
      </c>
      <c r="L359">
        <v>33</v>
      </c>
      <c r="M359" t="str" cm="1">
        <f t="array" ref="M359">_xlfn.IFS(
L359&gt;50,"Old Age",
L359&gt;=31,"Middle Age",
L359&lt;31,"Young Age"
)</f>
        <v>Middle Age</v>
      </c>
      <c r="N359" t="s">
        <v>18</v>
      </c>
      <c r="O359" t="str" cm="1">
        <f t="array" ref="O359">_xlfn.IFS(D359&gt;120000, "High Income", D359&gt;=80000, "Average Income", D359&lt;80000, "Low Income")</f>
        <v>Low Income</v>
      </c>
      <c r="P359">
        <f>IF(Table24[[#This Row],[Purchased Bike]]="Yes",1,0)</f>
        <v>0</v>
      </c>
    </row>
    <row r="360" spans="1:16" hidden="1" x14ac:dyDescent="0.25">
      <c r="A360">
        <v>12332</v>
      </c>
      <c r="B360" t="s">
        <v>34</v>
      </c>
      <c r="C360" t="s">
        <v>34</v>
      </c>
      <c r="D360" s="2">
        <v>90000</v>
      </c>
      <c r="E360">
        <v>4</v>
      </c>
      <c r="F360" t="s">
        <v>27</v>
      </c>
      <c r="G360" t="s">
        <v>28</v>
      </c>
      <c r="H360" t="s">
        <v>15</v>
      </c>
      <c r="I360">
        <v>3</v>
      </c>
      <c r="J360" t="s">
        <v>23</v>
      </c>
      <c r="K360" t="s">
        <v>17</v>
      </c>
      <c r="L360">
        <v>58</v>
      </c>
      <c r="M360" t="str" cm="1">
        <f t="array" ref="M360">_xlfn.IFS(
L360&gt;50,"Old Age",
L360&gt;=31,"Middle Age",
L360&lt;31,"Young Age"
)</f>
        <v>Old Age</v>
      </c>
      <c r="N360" t="s">
        <v>15</v>
      </c>
      <c r="O360" t="str" cm="1">
        <f t="array" ref="O360">_xlfn.IFS(D360&gt;120000, "High Income", D360&gt;=80000, "Average Income", D360&lt;80000, "Low Income")</f>
        <v>Average Income</v>
      </c>
      <c r="P360">
        <f>IF(Table24[[#This Row],[Purchased Bike]]="Yes",1,0)</f>
        <v>1</v>
      </c>
    </row>
    <row r="361" spans="1:16" hidden="1" x14ac:dyDescent="0.25">
      <c r="A361">
        <v>17230</v>
      </c>
      <c r="B361" t="s">
        <v>34</v>
      </c>
      <c r="C361" t="s">
        <v>34</v>
      </c>
      <c r="D361" s="2">
        <v>80000</v>
      </c>
      <c r="E361">
        <v>0</v>
      </c>
      <c r="F361" t="s">
        <v>13</v>
      </c>
      <c r="G361" t="s">
        <v>21</v>
      </c>
      <c r="H361" t="s">
        <v>15</v>
      </c>
      <c r="I361">
        <v>3</v>
      </c>
      <c r="J361" t="s">
        <v>30</v>
      </c>
      <c r="K361" t="s">
        <v>24</v>
      </c>
      <c r="L361">
        <v>30</v>
      </c>
      <c r="M361" t="str" cm="1">
        <f t="array" ref="M361">_xlfn.IFS(
L361&gt;50,"Old Age",
L361&gt;=31,"Middle Age",
L361&lt;31,"Young Age"
)</f>
        <v>Young Age</v>
      </c>
      <c r="N361" t="s">
        <v>18</v>
      </c>
      <c r="O361" t="str" cm="1">
        <f t="array" ref="O361">_xlfn.IFS(D361&gt;120000, "High Income", D361&gt;=80000, "Average Income", D361&lt;80000, "Low Income")</f>
        <v>Average Income</v>
      </c>
      <c r="P361">
        <f>IF(Table24[[#This Row],[Purchased Bike]]="Yes",1,0)</f>
        <v>0</v>
      </c>
    </row>
    <row r="362" spans="1:16" x14ac:dyDescent="0.25">
      <c r="A362">
        <v>13082</v>
      </c>
      <c r="B362" t="s">
        <v>35</v>
      </c>
      <c r="C362" t="s">
        <v>34</v>
      </c>
      <c r="D362" s="2">
        <v>130000</v>
      </c>
      <c r="E362">
        <v>0</v>
      </c>
      <c r="F362" t="s">
        <v>31</v>
      </c>
      <c r="G362" t="s">
        <v>28</v>
      </c>
      <c r="H362" t="s">
        <v>15</v>
      </c>
      <c r="I362">
        <v>0</v>
      </c>
      <c r="J362" t="s">
        <v>22</v>
      </c>
      <c r="K362" t="s">
        <v>24</v>
      </c>
      <c r="L362">
        <v>48</v>
      </c>
      <c r="M362" t="str" cm="1">
        <f t="array" ref="M362">_xlfn.IFS(
L362&gt;50,"Old Age",
L362&gt;=31,"Middle Age",
L362&lt;31,"Young Age"
)</f>
        <v>Middle Age</v>
      </c>
      <c r="N362" t="s">
        <v>15</v>
      </c>
      <c r="O362" t="str" cm="1">
        <f t="array" ref="O362">_xlfn.IFS(D362&gt;120000, "High Income", D362&gt;=80000, "Average Income", D362&lt;80000, "Low Income")</f>
        <v>High Income</v>
      </c>
      <c r="P362">
        <f>IF(Table24[[#This Row],[Purchased Bike]]="Yes",1,0)</f>
        <v>1</v>
      </c>
    </row>
    <row r="363" spans="1:16" hidden="1" x14ac:dyDescent="0.25">
      <c r="A363">
        <v>22518</v>
      </c>
      <c r="B363" t="s">
        <v>35</v>
      </c>
      <c r="C363" t="s">
        <v>33</v>
      </c>
      <c r="D363" s="2">
        <v>30000</v>
      </c>
      <c r="E363">
        <v>3</v>
      </c>
      <c r="F363" t="s">
        <v>19</v>
      </c>
      <c r="G363" t="s">
        <v>20</v>
      </c>
      <c r="H363" t="s">
        <v>18</v>
      </c>
      <c r="I363">
        <v>2</v>
      </c>
      <c r="J363" t="s">
        <v>16</v>
      </c>
      <c r="K363" t="s">
        <v>17</v>
      </c>
      <c r="L363">
        <v>27</v>
      </c>
      <c r="M363" t="str" cm="1">
        <f t="array" ref="M363">_xlfn.IFS(
L363&gt;50,"Old Age",
L363&gt;=31,"Middle Age",
L363&lt;31,"Young Age"
)</f>
        <v>Young Age</v>
      </c>
      <c r="N363" t="s">
        <v>15</v>
      </c>
      <c r="O363" t="str" cm="1">
        <f t="array" ref="O363">_xlfn.IFS(D363&gt;120000, "High Income", D363&gt;=80000, "Average Income", D363&lt;80000, "Low Income")</f>
        <v>Low Income</v>
      </c>
      <c r="P363">
        <f>IF(Table24[[#This Row],[Purchased Bike]]="Yes",1,0)</f>
        <v>1</v>
      </c>
    </row>
    <row r="364" spans="1:16" x14ac:dyDescent="0.25">
      <c r="A364">
        <v>13687</v>
      </c>
      <c r="B364" t="s">
        <v>34</v>
      </c>
      <c r="C364" t="s">
        <v>34</v>
      </c>
      <c r="D364" s="2">
        <v>40000</v>
      </c>
      <c r="E364">
        <v>1</v>
      </c>
      <c r="F364" t="s">
        <v>13</v>
      </c>
      <c r="G364" t="s">
        <v>14</v>
      </c>
      <c r="H364" t="s">
        <v>15</v>
      </c>
      <c r="I364">
        <v>1</v>
      </c>
      <c r="J364" t="s">
        <v>16</v>
      </c>
      <c r="K364" t="s">
        <v>17</v>
      </c>
      <c r="L364">
        <v>33</v>
      </c>
      <c r="M364" t="str" cm="1">
        <f t="array" ref="M364">_xlfn.IFS(
L364&gt;50,"Old Age",
L364&gt;=31,"Middle Age",
L364&lt;31,"Young Age"
)</f>
        <v>Middle Age</v>
      </c>
      <c r="N364" t="s">
        <v>15</v>
      </c>
      <c r="O364" t="str" cm="1">
        <f t="array" ref="O364">_xlfn.IFS(D364&gt;120000, "High Income", D364&gt;=80000, "Average Income", D364&lt;80000, "Low Income")</f>
        <v>Low Income</v>
      </c>
      <c r="P364">
        <f>IF(Table24[[#This Row],[Purchased Bike]]="Yes",1,0)</f>
        <v>1</v>
      </c>
    </row>
    <row r="365" spans="1:16" hidden="1" x14ac:dyDescent="0.25">
      <c r="A365">
        <v>23571</v>
      </c>
      <c r="B365" t="s">
        <v>34</v>
      </c>
      <c r="C365" t="s">
        <v>33</v>
      </c>
      <c r="D365" s="2">
        <v>40000</v>
      </c>
      <c r="E365">
        <v>2</v>
      </c>
      <c r="F365" t="s">
        <v>13</v>
      </c>
      <c r="G365" t="s">
        <v>28</v>
      </c>
      <c r="H365" t="s">
        <v>15</v>
      </c>
      <c r="I365">
        <v>2</v>
      </c>
      <c r="J365" t="s">
        <v>16</v>
      </c>
      <c r="K365" t="s">
        <v>24</v>
      </c>
      <c r="L365">
        <v>66</v>
      </c>
      <c r="M365" t="str" cm="1">
        <f t="array" ref="M365">_xlfn.IFS(
L365&gt;50,"Old Age",
L365&gt;=31,"Middle Age",
L365&lt;31,"Young Age"
)</f>
        <v>Old Age</v>
      </c>
      <c r="N365" t="s">
        <v>15</v>
      </c>
      <c r="O365" t="str" cm="1">
        <f t="array" ref="O365">_xlfn.IFS(D365&gt;120000, "High Income", D365&gt;=80000, "Average Income", D365&lt;80000, "Low Income")</f>
        <v>Low Income</v>
      </c>
      <c r="P365">
        <f>IF(Table24[[#This Row],[Purchased Bike]]="Yes",1,0)</f>
        <v>1</v>
      </c>
    </row>
    <row r="366" spans="1:16" x14ac:dyDescent="0.25">
      <c r="A366">
        <v>19305</v>
      </c>
      <c r="B366" t="s">
        <v>35</v>
      </c>
      <c r="C366" t="s">
        <v>33</v>
      </c>
      <c r="D366" s="2">
        <v>10000</v>
      </c>
      <c r="E366">
        <v>2</v>
      </c>
      <c r="F366" t="s">
        <v>27</v>
      </c>
      <c r="G366" t="s">
        <v>25</v>
      </c>
      <c r="H366" t="s">
        <v>15</v>
      </c>
      <c r="I366">
        <v>1</v>
      </c>
      <c r="J366" t="s">
        <v>16</v>
      </c>
      <c r="K366" t="s">
        <v>17</v>
      </c>
      <c r="L366">
        <v>38</v>
      </c>
      <c r="M366" t="str" cm="1">
        <f t="array" ref="M366">_xlfn.IFS(
L366&gt;50,"Old Age",
L366&gt;=31,"Middle Age",
L366&lt;31,"Young Age"
)</f>
        <v>Middle Age</v>
      </c>
      <c r="N366" t="s">
        <v>15</v>
      </c>
      <c r="O366" t="str" cm="1">
        <f t="array" ref="O366">_xlfn.IFS(D366&gt;120000, "High Income", D366&gt;=80000, "Average Income", D366&lt;80000, "Low Income")</f>
        <v>Low Income</v>
      </c>
      <c r="P366">
        <f>IF(Table24[[#This Row],[Purchased Bike]]="Yes",1,0)</f>
        <v>1</v>
      </c>
    </row>
    <row r="367" spans="1:16" x14ac:dyDescent="0.25">
      <c r="A367">
        <v>22636</v>
      </c>
      <c r="B367" t="s">
        <v>35</v>
      </c>
      <c r="C367" t="s">
        <v>33</v>
      </c>
      <c r="D367" s="2">
        <v>40000</v>
      </c>
      <c r="E367">
        <v>0</v>
      </c>
      <c r="F367" t="s">
        <v>13</v>
      </c>
      <c r="G367" t="s">
        <v>20</v>
      </c>
      <c r="H367" t="s">
        <v>18</v>
      </c>
      <c r="I367">
        <v>0</v>
      </c>
      <c r="J367" t="s">
        <v>16</v>
      </c>
      <c r="K367" t="s">
        <v>17</v>
      </c>
      <c r="L367">
        <v>38</v>
      </c>
      <c r="M367" t="str" cm="1">
        <f t="array" ref="M367">_xlfn.IFS(
L367&gt;50,"Old Age",
L367&gt;=31,"Middle Age",
L367&lt;31,"Young Age"
)</f>
        <v>Middle Age</v>
      </c>
      <c r="N367" t="s">
        <v>15</v>
      </c>
      <c r="O367" t="str" cm="1">
        <f t="array" ref="O367">_xlfn.IFS(D367&gt;120000, "High Income", D367&gt;=80000, "Average Income", D367&lt;80000, "Low Income")</f>
        <v>Low Income</v>
      </c>
      <c r="P367">
        <f>IF(Table24[[#This Row],[Purchased Bike]]="Yes",1,0)</f>
        <v>1</v>
      </c>
    </row>
    <row r="368" spans="1:16" x14ac:dyDescent="0.25">
      <c r="A368">
        <v>17310</v>
      </c>
      <c r="B368" t="s">
        <v>34</v>
      </c>
      <c r="C368" t="s">
        <v>34</v>
      </c>
      <c r="D368" s="2">
        <v>60000</v>
      </c>
      <c r="E368">
        <v>1</v>
      </c>
      <c r="F368" t="s">
        <v>19</v>
      </c>
      <c r="G368" t="s">
        <v>14</v>
      </c>
      <c r="H368" t="s">
        <v>15</v>
      </c>
      <c r="I368">
        <v>1</v>
      </c>
      <c r="J368" t="s">
        <v>16</v>
      </c>
      <c r="K368" t="s">
        <v>24</v>
      </c>
      <c r="L368">
        <v>45</v>
      </c>
      <c r="M368" t="str" cm="1">
        <f t="array" ref="M368">_xlfn.IFS(
L368&gt;50,"Old Age",
L368&gt;=31,"Middle Age",
L368&lt;31,"Young Age"
)</f>
        <v>Middle Age</v>
      </c>
      <c r="N368" t="s">
        <v>15</v>
      </c>
      <c r="O368" t="str" cm="1">
        <f t="array" ref="O368">_xlfn.IFS(D368&gt;120000, "High Income", D368&gt;=80000, "Average Income", D368&lt;80000, "Low Income")</f>
        <v>Low Income</v>
      </c>
      <c r="P368">
        <f>IF(Table24[[#This Row],[Purchased Bike]]="Yes",1,0)</f>
        <v>1</v>
      </c>
    </row>
    <row r="369" spans="1:16" x14ac:dyDescent="0.25">
      <c r="A369">
        <v>12133</v>
      </c>
      <c r="B369" t="s">
        <v>34</v>
      </c>
      <c r="C369" t="s">
        <v>33</v>
      </c>
      <c r="D369" s="2">
        <v>130000</v>
      </c>
      <c r="E369">
        <v>3</v>
      </c>
      <c r="F369" t="s">
        <v>19</v>
      </c>
      <c r="G369" t="s">
        <v>21</v>
      </c>
      <c r="H369" t="s">
        <v>15</v>
      </c>
      <c r="I369">
        <v>3</v>
      </c>
      <c r="J369" t="s">
        <v>23</v>
      </c>
      <c r="K369" t="s">
        <v>17</v>
      </c>
      <c r="L369">
        <v>50</v>
      </c>
      <c r="M369" t="str" cm="1">
        <f t="array" ref="M369">_xlfn.IFS(
L369&gt;50,"Old Age",
L369&gt;=31,"Middle Age",
L369&lt;31,"Young Age"
)</f>
        <v>Middle Age</v>
      </c>
      <c r="N369" t="s">
        <v>15</v>
      </c>
      <c r="O369" t="str" cm="1">
        <f t="array" ref="O369">_xlfn.IFS(D369&gt;120000, "High Income", D369&gt;=80000, "Average Income", D369&lt;80000, "Low Income")</f>
        <v>High Income</v>
      </c>
      <c r="P369">
        <f>IF(Table24[[#This Row],[Purchased Bike]]="Yes",1,0)</f>
        <v>1</v>
      </c>
    </row>
    <row r="370" spans="1:16" hidden="1" x14ac:dyDescent="0.25">
      <c r="A370">
        <v>25918</v>
      </c>
      <c r="B370" t="s">
        <v>35</v>
      </c>
      <c r="C370" t="s">
        <v>33</v>
      </c>
      <c r="D370" s="2">
        <v>30000</v>
      </c>
      <c r="E370">
        <v>2</v>
      </c>
      <c r="F370" t="s">
        <v>19</v>
      </c>
      <c r="G370" t="s">
        <v>20</v>
      </c>
      <c r="H370" t="s">
        <v>18</v>
      </c>
      <c r="I370">
        <v>2</v>
      </c>
      <c r="J370" t="s">
        <v>23</v>
      </c>
      <c r="K370" t="s">
        <v>24</v>
      </c>
      <c r="L370">
        <v>60</v>
      </c>
      <c r="M370" t="str" cm="1">
        <f t="array" ref="M370">_xlfn.IFS(
L370&gt;50,"Old Age",
L370&gt;=31,"Middle Age",
L370&lt;31,"Young Age"
)</f>
        <v>Old Age</v>
      </c>
      <c r="N370" t="s">
        <v>15</v>
      </c>
      <c r="O370" t="str" cm="1">
        <f t="array" ref="O370">_xlfn.IFS(D370&gt;120000, "High Income", D370&gt;=80000, "Average Income", D370&lt;80000, "Low Income")</f>
        <v>Low Income</v>
      </c>
      <c r="P370">
        <f>IF(Table24[[#This Row],[Purchased Bike]]="Yes",1,0)</f>
        <v>1</v>
      </c>
    </row>
    <row r="371" spans="1:16" hidden="1" x14ac:dyDescent="0.25">
      <c r="A371">
        <v>25752</v>
      </c>
      <c r="B371" t="s">
        <v>35</v>
      </c>
      <c r="C371" t="s">
        <v>33</v>
      </c>
      <c r="D371" s="2">
        <v>20000</v>
      </c>
      <c r="E371">
        <v>2</v>
      </c>
      <c r="F371" t="s">
        <v>19</v>
      </c>
      <c r="G371" t="s">
        <v>25</v>
      </c>
      <c r="H371" t="s">
        <v>18</v>
      </c>
      <c r="I371">
        <v>1</v>
      </c>
      <c r="J371" t="s">
        <v>16</v>
      </c>
      <c r="K371" t="s">
        <v>17</v>
      </c>
      <c r="L371">
        <v>53</v>
      </c>
      <c r="M371" t="str" cm="1">
        <f t="array" ref="M371">_xlfn.IFS(
L371&gt;50,"Old Age",
L371&gt;=31,"Middle Age",
L371&lt;31,"Young Age"
)</f>
        <v>Old Age</v>
      </c>
      <c r="N371" t="s">
        <v>15</v>
      </c>
      <c r="O371" t="str" cm="1">
        <f t="array" ref="O371">_xlfn.IFS(D371&gt;120000, "High Income", D371&gt;=80000, "Average Income", D371&lt;80000, "Low Income")</f>
        <v>Low Income</v>
      </c>
      <c r="P371">
        <f>IF(Table24[[#This Row],[Purchased Bike]]="Yes",1,0)</f>
        <v>1</v>
      </c>
    </row>
    <row r="372" spans="1:16" hidden="1" x14ac:dyDescent="0.25">
      <c r="A372">
        <v>17324</v>
      </c>
      <c r="B372" t="s">
        <v>34</v>
      </c>
      <c r="C372" t="s">
        <v>33</v>
      </c>
      <c r="D372" s="2">
        <v>100000</v>
      </c>
      <c r="E372">
        <v>4</v>
      </c>
      <c r="F372" t="s">
        <v>13</v>
      </c>
      <c r="G372" t="s">
        <v>21</v>
      </c>
      <c r="H372" t="s">
        <v>15</v>
      </c>
      <c r="I372">
        <v>1</v>
      </c>
      <c r="J372" t="s">
        <v>30</v>
      </c>
      <c r="K372" t="s">
        <v>24</v>
      </c>
      <c r="L372">
        <v>46</v>
      </c>
      <c r="M372" t="str" cm="1">
        <f t="array" ref="M372">_xlfn.IFS(
L372&gt;50,"Old Age",
L372&gt;=31,"Middle Age",
L372&lt;31,"Young Age"
)</f>
        <v>Middle Age</v>
      </c>
      <c r="N372" t="s">
        <v>18</v>
      </c>
      <c r="O372" t="str" cm="1">
        <f t="array" ref="O372">_xlfn.IFS(D372&gt;120000, "High Income", D372&gt;=80000, "Average Income", D372&lt;80000, "Low Income")</f>
        <v>Average Income</v>
      </c>
      <c r="P372">
        <f>IF(Table24[[#This Row],[Purchased Bike]]="Yes",1,0)</f>
        <v>0</v>
      </c>
    </row>
    <row r="373" spans="1:16" hidden="1" x14ac:dyDescent="0.25">
      <c r="A373">
        <v>22918</v>
      </c>
      <c r="B373" t="s">
        <v>35</v>
      </c>
      <c r="C373" t="s">
        <v>34</v>
      </c>
      <c r="D373" s="2">
        <v>80000</v>
      </c>
      <c r="E373">
        <v>5</v>
      </c>
      <c r="F373" t="s">
        <v>31</v>
      </c>
      <c r="G373" t="s">
        <v>28</v>
      </c>
      <c r="H373" t="s">
        <v>15</v>
      </c>
      <c r="I373">
        <v>3</v>
      </c>
      <c r="J373" t="s">
        <v>16</v>
      </c>
      <c r="K373" t="s">
        <v>24</v>
      </c>
      <c r="L373">
        <v>50</v>
      </c>
      <c r="M373" t="str" cm="1">
        <f t="array" ref="M373">_xlfn.IFS(
L373&gt;50,"Old Age",
L373&gt;=31,"Middle Age",
L373&lt;31,"Young Age"
)</f>
        <v>Middle Age</v>
      </c>
      <c r="N373" t="s">
        <v>18</v>
      </c>
      <c r="O373" t="str" cm="1">
        <f t="array" ref="O373">_xlfn.IFS(D373&gt;120000, "High Income", D373&gt;=80000, "Average Income", D373&lt;80000, "Low Income")</f>
        <v>Average Income</v>
      </c>
      <c r="P373">
        <f>IF(Table24[[#This Row],[Purchased Bike]]="Yes",1,0)</f>
        <v>0</v>
      </c>
    </row>
    <row r="374" spans="1:16" x14ac:dyDescent="0.25">
      <c r="A374">
        <v>12510</v>
      </c>
      <c r="B374" t="s">
        <v>34</v>
      </c>
      <c r="C374" t="s">
        <v>34</v>
      </c>
      <c r="D374" s="2">
        <v>40000</v>
      </c>
      <c r="E374">
        <v>1</v>
      </c>
      <c r="F374" t="s">
        <v>13</v>
      </c>
      <c r="G374" t="s">
        <v>14</v>
      </c>
      <c r="H374" t="s">
        <v>15</v>
      </c>
      <c r="I374">
        <v>1</v>
      </c>
      <c r="J374" t="s">
        <v>16</v>
      </c>
      <c r="K374" t="s">
        <v>17</v>
      </c>
      <c r="L374">
        <v>43</v>
      </c>
      <c r="M374" t="str" cm="1">
        <f t="array" ref="M374">_xlfn.IFS(
L374&gt;50,"Old Age",
L374&gt;=31,"Middle Age",
L374&lt;31,"Young Age"
)</f>
        <v>Middle Age</v>
      </c>
      <c r="N374" t="s">
        <v>15</v>
      </c>
      <c r="O374" t="str" cm="1">
        <f t="array" ref="O374">_xlfn.IFS(D374&gt;120000, "High Income", D374&gt;=80000, "Average Income", D374&lt;80000, "Low Income")</f>
        <v>Low Income</v>
      </c>
      <c r="P374">
        <f>IF(Table24[[#This Row],[Purchased Bike]]="Yes",1,0)</f>
        <v>1</v>
      </c>
    </row>
    <row r="375" spans="1:16" hidden="1" x14ac:dyDescent="0.25">
      <c r="A375">
        <v>25512</v>
      </c>
      <c r="B375" t="s">
        <v>35</v>
      </c>
      <c r="C375" t="s">
        <v>34</v>
      </c>
      <c r="D375" s="2">
        <v>20000</v>
      </c>
      <c r="E375">
        <v>0</v>
      </c>
      <c r="F375" t="s">
        <v>27</v>
      </c>
      <c r="G375" t="s">
        <v>25</v>
      </c>
      <c r="H375" t="s">
        <v>18</v>
      </c>
      <c r="I375">
        <v>1</v>
      </c>
      <c r="J375" t="s">
        <v>22</v>
      </c>
      <c r="K375" t="s">
        <v>17</v>
      </c>
      <c r="L375">
        <v>30</v>
      </c>
      <c r="M375" t="str" cm="1">
        <f t="array" ref="M375">_xlfn.IFS(
L375&gt;50,"Old Age",
L375&gt;=31,"Middle Age",
L375&lt;31,"Young Age"
)</f>
        <v>Young Age</v>
      </c>
      <c r="N375" t="s">
        <v>18</v>
      </c>
      <c r="O375" t="str" cm="1">
        <f t="array" ref="O375">_xlfn.IFS(D375&gt;120000, "High Income", D375&gt;=80000, "Average Income", D375&lt;80000, "Low Income")</f>
        <v>Low Income</v>
      </c>
      <c r="P375">
        <f>IF(Table24[[#This Row],[Purchased Bike]]="Yes",1,0)</f>
        <v>0</v>
      </c>
    </row>
    <row r="376" spans="1:16" hidden="1" x14ac:dyDescent="0.25">
      <c r="A376">
        <v>16179</v>
      </c>
      <c r="B376" t="s">
        <v>35</v>
      </c>
      <c r="C376" t="s">
        <v>33</v>
      </c>
      <c r="D376" s="2">
        <v>80000</v>
      </c>
      <c r="E376">
        <v>5</v>
      </c>
      <c r="F376" t="s">
        <v>13</v>
      </c>
      <c r="G376" t="s">
        <v>21</v>
      </c>
      <c r="H376" t="s">
        <v>15</v>
      </c>
      <c r="I376">
        <v>4</v>
      </c>
      <c r="J376" t="s">
        <v>26</v>
      </c>
      <c r="K376" t="s">
        <v>24</v>
      </c>
      <c r="L376">
        <v>38</v>
      </c>
      <c r="M376" t="str" cm="1">
        <f t="array" ref="M376">_xlfn.IFS(
L376&gt;50,"Old Age",
L376&gt;=31,"Middle Age",
L376&lt;31,"Young Age"
)</f>
        <v>Middle Age</v>
      </c>
      <c r="N376" t="s">
        <v>18</v>
      </c>
      <c r="O376" t="str" cm="1">
        <f t="array" ref="O376">_xlfn.IFS(D376&gt;120000, "High Income", D376&gt;=80000, "Average Income", D376&lt;80000, "Low Income")</f>
        <v>Average Income</v>
      </c>
      <c r="P376">
        <f>IF(Table24[[#This Row],[Purchased Bike]]="Yes",1,0)</f>
        <v>0</v>
      </c>
    </row>
    <row r="377" spans="1:16" hidden="1" x14ac:dyDescent="0.25">
      <c r="A377">
        <v>15628</v>
      </c>
      <c r="B377" t="s">
        <v>34</v>
      </c>
      <c r="C377" t="s">
        <v>33</v>
      </c>
      <c r="D377" s="2">
        <v>40000</v>
      </c>
      <c r="E377">
        <v>1</v>
      </c>
      <c r="F377" t="s">
        <v>13</v>
      </c>
      <c r="G377" t="s">
        <v>14</v>
      </c>
      <c r="H377" t="s">
        <v>15</v>
      </c>
      <c r="I377">
        <v>1</v>
      </c>
      <c r="J377" t="s">
        <v>16</v>
      </c>
      <c r="K377" t="s">
        <v>17</v>
      </c>
      <c r="L377">
        <v>89</v>
      </c>
      <c r="M377" t="str" cm="1">
        <f t="array" ref="M377">_xlfn.IFS(
L377&gt;50,"Old Age",
L377&gt;=31,"Middle Age",
L377&lt;31,"Young Age"
)</f>
        <v>Old Age</v>
      </c>
      <c r="N377" t="s">
        <v>18</v>
      </c>
      <c r="O377" t="str" cm="1">
        <f t="array" ref="O377">_xlfn.IFS(D377&gt;120000, "High Income", D377&gt;=80000, "Average Income", D377&lt;80000, "Low Income")</f>
        <v>Low Income</v>
      </c>
      <c r="P377">
        <f>IF(Table24[[#This Row],[Purchased Bike]]="Yes",1,0)</f>
        <v>0</v>
      </c>
    </row>
    <row r="378" spans="1:16" hidden="1" x14ac:dyDescent="0.25">
      <c r="A378">
        <v>20977</v>
      </c>
      <c r="B378" t="s">
        <v>34</v>
      </c>
      <c r="C378" t="s">
        <v>34</v>
      </c>
      <c r="D378" s="2">
        <v>20000</v>
      </c>
      <c r="E378">
        <v>1</v>
      </c>
      <c r="F378" t="s">
        <v>13</v>
      </c>
      <c r="G378" t="s">
        <v>20</v>
      </c>
      <c r="H378" t="s">
        <v>15</v>
      </c>
      <c r="I378">
        <v>0</v>
      </c>
      <c r="J378" t="s">
        <v>16</v>
      </c>
      <c r="K378" t="s">
        <v>17</v>
      </c>
      <c r="L378">
        <v>64</v>
      </c>
      <c r="M378" t="str" cm="1">
        <f t="array" ref="M378">_xlfn.IFS(
L378&gt;50,"Old Age",
L378&gt;=31,"Middle Age",
L378&lt;31,"Young Age"
)</f>
        <v>Old Age</v>
      </c>
      <c r="N378" t="s">
        <v>15</v>
      </c>
      <c r="O378" t="str" cm="1">
        <f t="array" ref="O378">_xlfn.IFS(D378&gt;120000, "High Income", D378&gt;=80000, "Average Income", D378&lt;80000, "Low Income")</f>
        <v>Low Income</v>
      </c>
      <c r="P378">
        <f>IF(Table24[[#This Row],[Purchased Bike]]="Yes",1,0)</f>
        <v>1</v>
      </c>
    </row>
    <row r="379" spans="1:16" hidden="1" x14ac:dyDescent="0.25">
      <c r="A379">
        <v>18140</v>
      </c>
      <c r="B379" t="s">
        <v>34</v>
      </c>
      <c r="C379" t="s">
        <v>34</v>
      </c>
      <c r="D379" s="2">
        <v>130000</v>
      </c>
      <c r="E379">
        <v>3</v>
      </c>
      <c r="F379" t="s">
        <v>19</v>
      </c>
      <c r="G379" t="s">
        <v>21</v>
      </c>
      <c r="H379" t="s">
        <v>18</v>
      </c>
      <c r="I379">
        <v>3</v>
      </c>
      <c r="J379" t="s">
        <v>23</v>
      </c>
      <c r="K379" t="s">
        <v>17</v>
      </c>
      <c r="L379">
        <v>51</v>
      </c>
      <c r="M379" t="str" cm="1">
        <f t="array" ref="M379">_xlfn.IFS(
L379&gt;50,"Old Age",
L379&gt;=31,"Middle Age",
L379&lt;31,"Young Age"
)</f>
        <v>Old Age</v>
      </c>
      <c r="N379" t="s">
        <v>15</v>
      </c>
      <c r="O379" t="str" cm="1">
        <f t="array" ref="O379">_xlfn.IFS(D379&gt;120000, "High Income", D379&gt;=80000, "Average Income", D379&lt;80000, "Low Income")</f>
        <v>High Income</v>
      </c>
      <c r="P379">
        <f>IF(Table24[[#This Row],[Purchased Bike]]="Yes",1,0)</f>
        <v>1</v>
      </c>
    </row>
    <row r="380" spans="1:16" hidden="1" x14ac:dyDescent="0.25">
      <c r="A380">
        <v>20417</v>
      </c>
      <c r="B380" t="s">
        <v>34</v>
      </c>
      <c r="C380" t="s">
        <v>34</v>
      </c>
      <c r="D380" s="2">
        <v>30000</v>
      </c>
      <c r="E380">
        <v>3</v>
      </c>
      <c r="F380" t="s">
        <v>19</v>
      </c>
      <c r="G380" t="s">
        <v>20</v>
      </c>
      <c r="H380" t="s">
        <v>18</v>
      </c>
      <c r="I380">
        <v>2</v>
      </c>
      <c r="J380" t="s">
        <v>23</v>
      </c>
      <c r="K380" t="s">
        <v>24</v>
      </c>
      <c r="L380">
        <v>56</v>
      </c>
      <c r="M380" t="str" cm="1">
        <f t="array" ref="M380">_xlfn.IFS(
L380&gt;50,"Old Age",
L380&gt;=31,"Middle Age",
L380&lt;31,"Young Age"
)</f>
        <v>Old Age</v>
      </c>
      <c r="N380" t="s">
        <v>18</v>
      </c>
      <c r="O380" t="str" cm="1">
        <f t="array" ref="O380">_xlfn.IFS(D380&gt;120000, "High Income", D380&gt;=80000, "Average Income", D380&lt;80000, "Low Income")</f>
        <v>Low Income</v>
      </c>
      <c r="P380">
        <f>IF(Table24[[#This Row],[Purchased Bike]]="Yes",1,0)</f>
        <v>0</v>
      </c>
    </row>
    <row r="381" spans="1:16" hidden="1" x14ac:dyDescent="0.25">
      <c r="A381">
        <v>18267</v>
      </c>
      <c r="B381" t="s">
        <v>34</v>
      </c>
      <c r="C381" t="s">
        <v>34</v>
      </c>
      <c r="D381" s="2">
        <v>60000</v>
      </c>
      <c r="E381">
        <v>3</v>
      </c>
      <c r="F381" t="s">
        <v>13</v>
      </c>
      <c r="G381" t="s">
        <v>21</v>
      </c>
      <c r="H381" t="s">
        <v>15</v>
      </c>
      <c r="I381">
        <v>2</v>
      </c>
      <c r="J381" t="s">
        <v>23</v>
      </c>
      <c r="K381" t="s">
        <v>24</v>
      </c>
      <c r="L381">
        <v>43</v>
      </c>
      <c r="M381" t="str" cm="1">
        <f t="array" ref="M381">_xlfn.IFS(
L381&gt;50,"Old Age",
L381&gt;=31,"Middle Age",
L381&lt;31,"Young Age"
)</f>
        <v>Middle Age</v>
      </c>
      <c r="N381" t="s">
        <v>18</v>
      </c>
      <c r="O381" t="str" cm="1">
        <f t="array" ref="O381">_xlfn.IFS(D381&gt;120000, "High Income", D381&gt;=80000, "Average Income", D381&lt;80000, "Low Income")</f>
        <v>Low Income</v>
      </c>
      <c r="P381">
        <f>IF(Table24[[#This Row],[Purchased Bike]]="Yes",1,0)</f>
        <v>0</v>
      </c>
    </row>
    <row r="382" spans="1:16" hidden="1" x14ac:dyDescent="0.25">
      <c r="A382">
        <v>13620</v>
      </c>
      <c r="B382" t="s">
        <v>35</v>
      </c>
      <c r="C382" t="s">
        <v>34</v>
      </c>
      <c r="D382" s="2">
        <v>70000</v>
      </c>
      <c r="E382">
        <v>0</v>
      </c>
      <c r="F382" t="s">
        <v>13</v>
      </c>
      <c r="G382" t="s">
        <v>21</v>
      </c>
      <c r="H382" t="s">
        <v>18</v>
      </c>
      <c r="I382">
        <v>3</v>
      </c>
      <c r="J382" t="s">
        <v>30</v>
      </c>
      <c r="K382" t="s">
        <v>24</v>
      </c>
      <c r="L382">
        <v>30</v>
      </c>
      <c r="M382" t="str" cm="1">
        <f t="array" ref="M382">_xlfn.IFS(
L382&gt;50,"Old Age",
L382&gt;=31,"Middle Age",
L382&lt;31,"Young Age"
)</f>
        <v>Young Age</v>
      </c>
      <c r="N382" t="s">
        <v>15</v>
      </c>
      <c r="O382" t="str" cm="1">
        <f t="array" ref="O382">_xlfn.IFS(D382&gt;120000, "High Income", D382&gt;=80000, "Average Income", D382&lt;80000, "Low Income")</f>
        <v>Low Income</v>
      </c>
      <c r="P382">
        <f>IF(Table24[[#This Row],[Purchased Bike]]="Yes",1,0)</f>
        <v>1</v>
      </c>
    </row>
    <row r="383" spans="1:16" hidden="1" x14ac:dyDescent="0.25">
      <c r="A383">
        <v>22974</v>
      </c>
      <c r="B383" t="s">
        <v>34</v>
      </c>
      <c r="C383" t="s">
        <v>33</v>
      </c>
      <c r="D383" s="2">
        <v>30000</v>
      </c>
      <c r="E383">
        <v>2</v>
      </c>
      <c r="F383" t="s">
        <v>19</v>
      </c>
      <c r="G383" t="s">
        <v>20</v>
      </c>
      <c r="H383" t="s">
        <v>15</v>
      </c>
      <c r="I383">
        <v>2</v>
      </c>
      <c r="J383" t="s">
        <v>23</v>
      </c>
      <c r="K383" t="s">
        <v>24</v>
      </c>
      <c r="L383">
        <v>69</v>
      </c>
      <c r="M383" t="str" cm="1">
        <f t="array" ref="M383">_xlfn.IFS(
L383&gt;50,"Old Age",
L383&gt;=31,"Middle Age",
L383&lt;31,"Young Age"
)</f>
        <v>Old Age</v>
      </c>
      <c r="N383" t="s">
        <v>18</v>
      </c>
      <c r="O383" t="str" cm="1">
        <f t="array" ref="O383">_xlfn.IFS(D383&gt;120000, "High Income", D383&gt;=80000, "Average Income", D383&lt;80000, "Low Income")</f>
        <v>Low Income</v>
      </c>
      <c r="P383">
        <f>IF(Table24[[#This Row],[Purchased Bike]]="Yes",1,0)</f>
        <v>0</v>
      </c>
    </row>
    <row r="384" spans="1:16" hidden="1" x14ac:dyDescent="0.25">
      <c r="A384">
        <v>13586</v>
      </c>
      <c r="B384" t="s">
        <v>34</v>
      </c>
      <c r="C384" t="s">
        <v>34</v>
      </c>
      <c r="D384" s="2">
        <v>80000</v>
      </c>
      <c r="E384">
        <v>4</v>
      </c>
      <c r="F384" t="s">
        <v>19</v>
      </c>
      <c r="G384" t="s">
        <v>21</v>
      </c>
      <c r="H384" t="s">
        <v>15</v>
      </c>
      <c r="I384">
        <v>2</v>
      </c>
      <c r="J384" t="s">
        <v>30</v>
      </c>
      <c r="K384" t="s">
        <v>17</v>
      </c>
      <c r="L384">
        <v>53</v>
      </c>
      <c r="M384" t="str" cm="1">
        <f t="array" ref="M384">_xlfn.IFS(
L384&gt;50,"Old Age",
L384&gt;=31,"Middle Age",
L384&lt;31,"Young Age"
)</f>
        <v>Old Age</v>
      </c>
      <c r="N384" t="s">
        <v>18</v>
      </c>
      <c r="O384" t="str" cm="1">
        <f t="array" ref="O384">_xlfn.IFS(D384&gt;120000, "High Income", D384&gt;=80000, "Average Income", D384&lt;80000, "Low Income")</f>
        <v>Average Income</v>
      </c>
      <c r="P384">
        <f>IF(Table24[[#This Row],[Purchased Bike]]="Yes",1,0)</f>
        <v>0</v>
      </c>
    </row>
    <row r="385" spans="1:16" x14ac:dyDescent="0.25">
      <c r="A385">
        <v>17978</v>
      </c>
      <c r="B385" t="s">
        <v>34</v>
      </c>
      <c r="C385" t="s">
        <v>34</v>
      </c>
      <c r="D385" s="2">
        <v>40000</v>
      </c>
      <c r="E385">
        <v>0</v>
      </c>
      <c r="F385" t="s">
        <v>31</v>
      </c>
      <c r="G385" t="s">
        <v>20</v>
      </c>
      <c r="H385" t="s">
        <v>15</v>
      </c>
      <c r="I385">
        <v>0</v>
      </c>
      <c r="J385" t="s">
        <v>16</v>
      </c>
      <c r="K385" t="s">
        <v>17</v>
      </c>
      <c r="L385">
        <v>37</v>
      </c>
      <c r="M385" t="str" cm="1">
        <f t="array" ref="M385">_xlfn.IFS(
L385&gt;50,"Old Age",
L385&gt;=31,"Middle Age",
L385&lt;31,"Young Age"
)</f>
        <v>Middle Age</v>
      </c>
      <c r="N385" t="s">
        <v>15</v>
      </c>
      <c r="O385" t="str" cm="1">
        <f t="array" ref="O385">_xlfn.IFS(D385&gt;120000, "High Income", D385&gt;=80000, "Average Income", D385&lt;80000, "Low Income")</f>
        <v>Low Income</v>
      </c>
      <c r="P385">
        <f>IF(Table24[[#This Row],[Purchased Bike]]="Yes",1,0)</f>
        <v>1</v>
      </c>
    </row>
    <row r="386" spans="1:16" hidden="1" x14ac:dyDescent="0.25">
      <c r="A386">
        <v>12581</v>
      </c>
      <c r="B386" t="s">
        <v>35</v>
      </c>
      <c r="C386" t="s">
        <v>33</v>
      </c>
      <c r="D386" s="2">
        <v>10000</v>
      </c>
      <c r="E386">
        <v>0</v>
      </c>
      <c r="F386" t="s">
        <v>19</v>
      </c>
      <c r="G386" t="s">
        <v>25</v>
      </c>
      <c r="H386" t="s">
        <v>18</v>
      </c>
      <c r="I386">
        <v>1</v>
      </c>
      <c r="J386" t="s">
        <v>16</v>
      </c>
      <c r="K386" t="s">
        <v>24</v>
      </c>
      <c r="L386">
        <v>28</v>
      </c>
      <c r="M386" t="str" cm="1">
        <f t="array" ref="M386">_xlfn.IFS(
L386&gt;50,"Old Age",
L386&gt;=31,"Middle Age",
L386&lt;31,"Young Age"
)</f>
        <v>Young Age</v>
      </c>
      <c r="N386" t="s">
        <v>15</v>
      </c>
      <c r="O386" t="str" cm="1">
        <f t="array" ref="O386">_xlfn.IFS(D386&gt;120000, "High Income", D386&gt;=80000, "Average Income", D386&lt;80000, "Low Income")</f>
        <v>Low Income</v>
      </c>
      <c r="P386">
        <f>IF(Table24[[#This Row],[Purchased Bike]]="Yes",1,0)</f>
        <v>1</v>
      </c>
    </row>
    <row r="387" spans="1:16" hidden="1" x14ac:dyDescent="0.25">
      <c r="A387">
        <v>18018</v>
      </c>
      <c r="B387" t="s">
        <v>35</v>
      </c>
      <c r="C387" t="s">
        <v>34</v>
      </c>
      <c r="D387" s="2">
        <v>30000</v>
      </c>
      <c r="E387">
        <v>3</v>
      </c>
      <c r="F387" t="s">
        <v>19</v>
      </c>
      <c r="G387" t="s">
        <v>20</v>
      </c>
      <c r="H387" t="s">
        <v>15</v>
      </c>
      <c r="I387">
        <v>0</v>
      </c>
      <c r="J387" t="s">
        <v>16</v>
      </c>
      <c r="K387" t="s">
        <v>17</v>
      </c>
      <c r="L387">
        <v>43</v>
      </c>
      <c r="M387" t="str" cm="1">
        <f t="array" ref="M387">_xlfn.IFS(
L387&gt;50,"Old Age",
L387&gt;=31,"Middle Age",
L387&lt;31,"Young Age"
)</f>
        <v>Middle Age</v>
      </c>
      <c r="N387" t="s">
        <v>18</v>
      </c>
      <c r="O387" t="str" cm="1">
        <f t="array" ref="O387">_xlfn.IFS(D387&gt;120000, "High Income", D387&gt;=80000, "Average Income", D387&lt;80000, "Low Income")</f>
        <v>Low Income</v>
      </c>
      <c r="P387">
        <f>IF(Table24[[#This Row],[Purchased Bike]]="Yes",1,0)</f>
        <v>0</v>
      </c>
    </row>
    <row r="388" spans="1:16" x14ac:dyDescent="0.25">
      <c r="A388">
        <v>28957</v>
      </c>
      <c r="B388" t="s">
        <v>35</v>
      </c>
      <c r="C388" t="s">
        <v>33</v>
      </c>
      <c r="D388" s="2">
        <v>120000</v>
      </c>
      <c r="E388">
        <v>0</v>
      </c>
      <c r="F388" t="s">
        <v>29</v>
      </c>
      <c r="G388" t="s">
        <v>21</v>
      </c>
      <c r="H388" t="s">
        <v>15</v>
      </c>
      <c r="I388">
        <v>4</v>
      </c>
      <c r="J388" t="s">
        <v>30</v>
      </c>
      <c r="K388" t="s">
        <v>24</v>
      </c>
      <c r="L388">
        <v>34</v>
      </c>
      <c r="M388" t="str" cm="1">
        <f t="array" ref="M388">_xlfn.IFS(
L388&gt;50,"Old Age",
L388&gt;=31,"Middle Age",
L388&lt;31,"Young Age"
)</f>
        <v>Middle Age</v>
      </c>
      <c r="N388" t="s">
        <v>15</v>
      </c>
      <c r="O388" t="str" cm="1">
        <f t="array" ref="O388">_xlfn.IFS(D388&gt;120000, "High Income", D388&gt;=80000, "Average Income", D388&lt;80000, "Low Income")</f>
        <v>Average Income</v>
      </c>
      <c r="P388">
        <f>IF(Table24[[#This Row],[Purchased Bike]]="Yes",1,0)</f>
        <v>1</v>
      </c>
    </row>
    <row r="389" spans="1:16" x14ac:dyDescent="0.25">
      <c r="A389">
        <v>13690</v>
      </c>
      <c r="B389" t="s">
        <v>35</v>
      </c>
      <c r="C389" t="s">
        <v>33</v>
      </c>
      <c r="D389" s="2">
        <v>20000</v>
      </c>
      <c r="E389">
        <v>0</v>
      </c>
      <c r="F389" t="s">
        <v>29</v>
      </c>
      <c r="G389" t="s">
        <v>25</v>
      </c>
      <c r="H389" t="s">
        <v>18</v>
      </c>
      <c r="I389">
        <v>2</v>
      </c>
      <c r="J389" t="s">
        <v>26</v>
      </c>
      <c r="K389" t="s">
        <v>17</v>
      </c>
      <c r="L389">
        <v>34</v>
      </c>
      <c r="M389" t="str" cm="1">
        <f t="array" ref="M389">_xlfn.IFS(
L389&gt;50,"Old Age",
L389&gt;=31,"Middle Age",
L389&lt;31,"Young Age"
)</f>
        <v>Middle Age</v>
      </c>
      <c r="N389" t="s">
        <v>15</v>
      </c>
      <c r="O389" t="str" cm="1">
        <f t="array" ref="O389">_xlfn.IFS(D389&gt;120000, "High Income", D389&gt;=80000, "Average Income", D389&lt;80000, "Low Income")</f>
        <v>Low Income</v>
      </c>
      <c r="P389">
        <f>IF(Table24[[#This Row],[Purchased Bike]]="Yes",1,0)</f>
        <v>1</v>
      </c>
    </row>
    <row r="390" spans="1:16" hidden="1" x14ac:dyDescent="0.25">
      <c r="A390">
        <v>12568</v>
      </c>
      <c r="B390" t="s">
        <v>34</v>
      </c>
      <c r="C390" t="s">
        <v>33</v>
      </c>
      <c r="D390" s="2">
        <v>30000</v>
      </c>
      <c r="E390">
        <v>1</v>
      </c>
      <c r="F390" t="s">
        <v>13</v>
      </c>
      <c r="G390" t="s">
        <v>20</v>
      </c>
      <c r="H390" t="s">
        <v>15</v>
      </c>
      <c r="I390">
        <v>0</v>
      </c>
      <c r="J390" t="s">
        <v>16</v>
      </c>
      <c r="K390" t="s">
        <v>17</v>
      </c>
      <c r="L390">
        <v>64</v>
      </c>
      <c r="M390" t="str" cm="1">
        <f t="array" ref="M390">_xlfn.IFS(
L390&gt;50,"Old Age",
L390&gt;=31,"Middle Age",
L390&lt;31,"Young Age"
)</f>
        <v>Old Age</v>
      </c>
      <c r="N390" t="s">
        <v>18</v>
      </c>
      <c r="O390" t="str" cm="1">
        <f t="array" ref="O390">_xlfn.IFS(D390&gt;120000, "High Income", D390&gt;=80000, "Average Income", D390&lt;80000, "Low Income")</f>
        <v>Low Income</v>
      </c>
      <c r="P390">
        <f>IF(Table24[[#This Row],[Purchased Bike]]="Yes",1,0)</f>
        <v>0</v>
      </c>
    </row>
    <row r="391" spans="1:16" x14ac:dyDescent="0.25">
      <c r="A391">
        <v>13122</v>
      </c>
      <c r="B391" t="s">
        <v>34</v>
      </c>
      <c r="C391" t="s">
        <v>33</v>
      </c>
      <c r="D391" s="2">
        <v>80000</v>
      </c>
      <c r="E391">
        <v>0</v>
      </c>
      <c r="F391" t="s">
        <v>13</v>
      </c>
      <c r="G391" t="s">
        <v>21</v>
      </c>
      <c r="H391" t="s">
        <v>15</v>
      </c>
      <c r="I391">
        <v>1</v>
      </c>
      <c r="J391" t="s">
        <v>26</v>
      </c>
      <c r="K391" t="s">
        <v>24</v>
      </c>
      <c r="L391">
        <v>41</v>
      </c>
      <c r="M391" t="str" cm="1">
        <f t="array" ref="M391">_xlfn.IFS(
L391&gt;50,"Old Age",
L391&gt;=31,"Middle Age",
L391&lt;31,"Young Age"
)</f>
        <v>Middle Age</v>
      </c>
      <c r="N391" t="s">
        <v>15</v>
      </c>
      <c r="O391" t="str" cm="1">
        <f t="array" ref="O391">_xlfn.IFS(D391&gt;120000, "High Income", D391&gt;=80000, "Average Income", D391&lt;80000, "Low Income")</f>
        <v>Average Income</v>
      </c>
      <c r="P391">
        <f>IF(Table24[[#This Row],[Purchased Bike]]="Yes",1,0)</f>
        <v>1</v>
      </c>
    </row>
    <row r="392" spans="1:16" hidden="1" x14ac:dyDescent="0.25">
      <c r="A392">
        <v>21184</v>
      </c>
      <c r="B392" t="s">
        <v>35</v>
      </c>
      <c r="C392" t="s">
        <v>34</v>
      </c>
      <c r="D392" s="2">
        <v>70000</v>
      </c>
      <c r="E392">
        <v>0</v>
      </c>
      <c r="F392" t="s">
        <v>13</v>
      </c>
      <c r="G392" t="s">
        <v>21</v>
      </c>
      <c r="H392" t="s">
        <v>18</v>
      </c>
      <c r="I392">
        <v>1</v>
      </c>
      <c r="J392" t="s">
        <v>23</v>
      </c>
      <c r="K392" t="s">
        <v>24</v>
      </c>
      <c r="L392">
        <v>38</v>
      </c>
      <c r="M392" t="str" cm="1">
        <f t="array" ref="M392">_xlfn.IFS(
L392&gt;50,"Old Age",
L392&gt;=31,"Middle Age",
L392&lt;31,"Young Age"
)</f>
        <v>Middle Age</v>
      </c>
      <c r="N392" t="s">
        <v>18</v>
      </c>
      <c r="O392" t="str" cm="1">
        <f t="array" ref="O392">_xlfn.IFS(D392&gt;120000, "High Income", D392&gt;=80000, "Average Income", D392&lt;80000, "Low Income")</f>
        <v>Low Income</v>
      </c>
      <c r="P392">
        <f>IF(Table24[[#This Row],[Purchased Bike]]="Yes",1,0)</f>
        <v>0</v>
      </c>
    </row>
    <row r="393" spans="1:16" x14ac:dyDescent="0.25">
      <c r="A393">
        <v>26150</v>
      </c>
      <c r="B393" t="s">
        <v>35</v>
      </c>
      <c r="C393" t="s">
        <v>33</v>
      </c>
      <c r="D393" s="2">
        <v>70000</v>
      </c>
      <c r="E393">
        <v>0</v>
      </c>
      <c r="F393" t="s">
        <v>13</v>
      </c>
      <c r="G393" t="s">
        <v>21</v>
      </c>
      <c r="H393" t="s">
        <v>18</v>
      </c>
      <c r="I393">
        <v>1</v>
      </c>
      <c r="J393" t="s">
        <v>16</v>
      </c>
      <c r="K393" t="s">
        <v>24</v>
      </c>
      <c r="L393">
        <v>41</v>
      </c>
      <c r="M393" t="str" cm="1">
        <f t="array" ref="M393">_xlfn.IFS(
L393&gt;50,"Old Age",
L393&gt;=31,"Middle Age",
L393&lt;31,"Young Age"
)</f>
        <v>Middle Age</v>
      </c>
      <c r="N393" t="s">
        <v>15</v>
      </c>
      <c r="O393" t="str" cm="1">
        <f t="array" ref="O393">_xlfn.IFS(D393&gt;120000, "High Income", D393&gt;=80000, "Average Income", D393&lt;80000, "Low Income")</f>
        <v>Low Income</v>
      </c>
      <c r="P393">
        <f>IF(Table24[[#This Row],[Purchased Bike]]="Yes",1,0)</f>
        <v>1</v>
      </c>
    </row>
    <row r="394" spans="1:16" hidden="1" x14ac:dyDescent="0.25">
      <c r="A394">
        <v>24151</v>
      </c>
      <c r="B394" t="s">
        <v>35</v>
      </c>
      <c r="C394" t="s">
        <v>34</v>
      </c>
      <c r="D394" s="2">
        <v>20000</v>
      </c>
      <c r="E394">
        <v>1</v>
      </c>
      <c r="F394" t="s">
        <v>13</v>
      </c>
      <c r="G394" t="s">
        <v>20</v>
      </c>
      <c r="H394" t="s">
        <v>18</v>
      </c>
      <c r="I394">
        <v>0</v>
      </c>
      <c r="J394" t="s">
        <v>16</v>
      </c>
      <c r="K394" t="s">
        <v>17</v>
      </c>
      <c r="L394">
        <v>51</v>
      </c>
      <c r="M394" t="str" cm="1">
        <f t="array" ref="M394">_xlfn.IFS(
L394&gt;50,"Old Age",
L394&gt;=31,"Middle Age",
L394&lt;31,"Young Age"
)</f>
        <v>Old Age</v>
      </c>
      <c r="N394" t="s">
        <v>18</v>
      </c>
      <c r="O394" t="str" cm="1">
        <f t="array" ref="O394">_xlfn.IFS(D394&gt;120000, "High Income", D394&gt;=80000, "Average Income", D394&lt;80000, "Low Income")</f>
        <v>Low Income</v>
      </c>
      <c r="P394">
        <f>IF(Table24[[#This Row],[Purchased Bike]]="Yes",1,0)</f>
        <v>0</v>
      </c>
    </row>
    <row r="395" spans="1:16" hidden="1" x14ac:dyDescent="0.25">
      <c r="A395">
        <v>23962</v>
      </c>
      <c r="B395" t="s">
        <v>34</v>
      </c>
      <c r="C395" t="s">
        <v>33</v>
      </c>
      <c r="D395" s="2">
        <v>10000</v>
      </c>
      <c r="E395">
        <v>0</v>
      </c>
      <c r="F395" t="s">
        <v>29</v>
      </c>
      <c r="G395" t="s">
        <v>25</v>
      </c>
      <c r="H395" t="s">
        <v>15</v>
      </c>
      <c r="I395">
        <v>2</v>
      </c>
      <c r="J395" t="s">
        <v>26</v>
      </c>
      <c r="K395" t="s">
        <v>17</v>
      </c>
      <c r="L395">
        <v>32</v>
      </c>
      <c r="M395" t="str" cm="1">
        <f t="array" ref="M395">_xlfn.IFS(
L395&gt;50,"Old Age",
L395&gt;=31,"Middle Age",
L395&lt;31,"Young Age"
)</f>
        <v>Middle Age</v>
      </c>
      <c r="N395" t="s">
        <v>18</v>
      </c>
      <c r="O395" t="str" cm="1">
        <f t="array" ref="O395">_xlfn.IFS(D395&gt;120000, "High Income", D395&gt;=80000, "Average Income", D395&lt;80000, "Low Income")</f>
        <v>Low Income</v>
      </c>
      <c r="P395">
        <f>IF(Table24[[#This Row],[Purchased Bike]]="Yes",1,0)</f>
        <v>0</v>
      </c>
    </row>
    <row r="396" spans="1:16" x14ac:dyDescent="0.25">
      <c r="A396">
        <v>17793</v>
      </c>
      <c r="B396" t="s">
        <v>34</v>
      </c>
      <c r="C396" t="s">
        <v>33</v>
      </c>
      <c r="D396" s="2">
        <v>40000</v>
      </c>
      <c r="E396">
        <v>0</v>
      </c>
      <c r="F396" t="s">
        <v>13</v>
      </c>
      <c r="G396" t="s">
        <v>20</v>
      </c>
      <c r="H396" t="s">
        <v>15</v>
      </c>
      <c r="I396">
        <v>0</v>
      </c>
      <c r="J396" t="s">
        <v>16</v>
      </c>
      <c r="K396" t="s">
        <v>17</v>
      </c>
      <c r="L396">
        <v>38</v>
      </c>
      <c r="M396" t="str" cm="1">
        <f t="array" ref="M396">_xlfn.IFS(
L396&gt;50,"Old Age",
L396&gt;=31,"Middle Age",
L396&lt;31,"Young Age"
)</f>
        <v>Middle Age</v>
      </c>
      <c r="N396" t="s">
        <v>15</v>
      </c>
      <c r="O396" t="str" cm="1">
        <f t="array" ref="O396">_xlfn.IFS(D396&gt;120000, "High Income", D396&gt;=80000, "Average Income", D396&lt;80000, "Low Income")</f>
        <v>Low Income</v>
      </c>
      <c r="P396">
        <f>IF(Table24[[#This Row],[Purchased Bike]]="Yes",1,0)</f>
        <v>1</v>
      </c>
    </row>
    <row r="397" spans="1:16" x14ac:dyDescent="0.25">
      <c r="A397">
        <v>14926</v>
      </c>
      <c r="B397" t="s">
        <v>34</v>
      </c>
      <c r="C397" t="s">
        <v>34</v>
      </c>
      <c r="D397" s="2">
        <v>30000</v>
      </c>
      <c r="E397">
        <v>1</v>
      </c>
      <c r="F397" t="s">
        <v>13</v>
      </c>
      <c r="G397" t="s">
        <v>20</v>
      </c>
      <c r="H397" t="s">
        <v>15</v>
      </c>
      <c r="I397">
        <v>0</v>
      </c>
      <c r="J397" t="s">
        <v>16</v>
      </c>
      <c r="K397" t="s">
        <v>17</v>
      </c>
      <c r="L397">
        <v>38</v>
      </c>
      <c r="M397" t="str" cm="1">
        <f t="array" ref="M397">_xlfn.IFS(
L397&gt;50,"Old Age",
L397&gt;=31,"Middle Age",
L397&lt;31,"Young Age"
)</f>
        <v>Middle Age</v>
      </c>
      <c r="N397" t="s">
        <v>15</v>
      </c>
      <c r="O397" t="str" cm="1">
        <f t="array" ref="O397">_xlfn.IFS(D397&gt;120000, "High Income", D397&gt;=80000, "Average Income", D397&lt;80000, "Low Income")</f>
        <v>Low Income</v>
      </c>
      <c r="P397">
        <f>IF(Table24[[#This Row],[Purchased Bike]]="Yes",1,0)</f>
        <v>1</v>
      </c>
    </row>
    <row r="398" spans="1:16" x14ac:dyDescent="0.25">
      <c r="A398">
        <v>16163</v>
      </c>
      <c r="B398" t="s">
        <v>35</v>
      </c>
      <c r="C398" t="s">
        <v>34</v>
      </c>
      <c r="D398" s="2">
        <v>60000</v>
      </c>
      <c r="E398">
        <v>2</v>
      </c>
      <c r="F398" t="s">
        <v>13</v>
      </c>
      <c r="G398" t="s">
        <v>21</v>
      </c>
      <c r="H398" t="s">
        <v>15</v>
      </c>
      <c r="I398">
        <v>1</v>
      </c>
      <c r="J398" t="s">
        <v>22</v>
      </c>
      <c r="K398" t="s">
        <v>24</v>
      </c>
      <c r="L398">
        <v>38</v>
      </c>
      <c r="M398" t="str" cm="1">
        <f t="array" ref="M398">_xlfn.IFS(
L398&gt;50,"Old Age",
L398&gt;=31,"Middle Age",
L398&lt;31,"Young Age"
)</f>
        <v>Middle Age</v>
      </c>
      <c r="N398" t="s">
        <v>15</v>
      </c>
      <c r="O398" t="str" cm="1">
        <f t="array" ref="O398">_xlfn.IFS(D398&gt;120000, "High Income", D398&gt;=80000, "Average Income", D398&lt;80000, "Low Income")</f>
        <v>Low Income</v>
      </c>
      <c r="P398">
        <f>IF(Table24[[#This Row],[Purchased Bike]]="Yes",1,0)</f>
        <v>1</v>
      </c>
    </row>
    <row r="399" spans="1:16" hidden="1" x14ac:dyDescent="0.25">
      <c r="A399">
        <v>21365</v>
      </c>
      <c r="B399" t="s">
        <v>34</v>
      </c>
      <c r="C399" t="s">
        <v>33</v>
      </c>
      <c r="D399" s="2">
        <v>10000</v>
      </c>
      <c r="E399">
        <v>2</v>
      </c>
      <c r="F399" t="s">
        <v>29</v>
      </c>
      <c r="G399" t="s">
        <v>20</v>
      </c>
      <c r="H399" t="s">
        <v>15</v>
      </c>
      <c r="I399">
        <v>2</v>
      </c>
      <c r="J399" t="s">
        <v>23</v>
      </c>
      <c r="K399" t="s">
        <v>24</v>
      </c>
      <c r="L399">
        <v>58</v>
      </c>
      <c r="M399" t="str" cm="1">
        <f t="array" ref="M399">_xlfn.IFS(
L399&gt;50,"Old Age",
L399&gt;=31,"Middle Age",
L399&lt;31,"Young Age"
)</f>
        <v>Old Age</v>
      </c>
      <c r="N399" t="s">
        <v>18</v>
      </c>
      <c r="O399" t="str" cm="1">
        <f t="array" ref="O399">_xlfn.IFS(D399&gt;120000, "High Income", D399&gt;=80000, "Average Income", D399&lt;80000, "Low Income")</f>
        <v>Low Income</v>
      </c>
      <c r="P399">
        <f>IF(Table24[[#This Row],[Purchased Bike]]="Yes",1,0)</f>
        <v>0</v>
      </c>
    </row>
    <row r="400" spans="1:16" x14ac:dyDescent="0.25">
      <c r="A400">
        <v>27771</v>
      </c>
      <c r="B400" t="s">
        <v>35</v>
      </c>
      <c r="C400" t="s">
        <v>34</v>
      </c>
      <c r="D400" s="2">
        <v>30000</v>
      </c>
      <c r="E400">
        <v>1</v>
      </c>
      <c r="F400" t="s">
        <v>13</v>
      </c>
      <c r="G400" t="s">
        <v>20</v>
      </c>
      <c r="H400" t="s">
        <v>15</v>
      </c>
      <c r="I400">
        <v>1</v>
      </c>
      <c r="J400" t="s">
        <v>26</v>
      </c>
      <c r="K400" t="s">
        <v>17</v>
      </c>
      <c r="L400">
        <v>39</v>
      </c>
      <c r="M400" t="str" cm="1">
        <f t="array" ref="M400">_xlfn.IFS(
L400&gt;50,"Old Age",
L400&gt;=31,"Middle Age",
L400&lt;31,"Young Age"
)</f>
        <v>Middle Age</v>
      </c>
      <c r="N400" t="s">
        <v>15</v>
      </c>
      <c r="O400" t="str" cm="1">
        <f t="array" ref="O400">_xlfn.IFS(D400&gt;120000, "High Income", D400&gt;=80000, "Average Income", D400&lt;80000, "Low Income")</f>
        <v>Low Income</v>
      </c>
      <c r="P400">
        <f>IF(Table24[[#This Row],[Purchased Bike]]="Yes",1,0)</f>
        <v>1</v>
      </c>
    </row>
    <row r="401" spans="1:16" hidden="1" x14ac:dyDescent="0.25">
      <c r="A401">
        <v>26167</v>
      </c>
      <c r="B401" t="s">
        <v>35</v>
      </c>
      <c r="C401" t="s">
        <v>33</v>
      </c>
      <c r="D401" s="2">
        <v>40000</v>
      </c>
      <c r="E401">
        <v>2</v>
      </c>
      <c r="F401" t="s">
        <v>13</v>
      </c>
      <c r="G401" t="s">
        <v>28</v>
      </c>
      <c r="H401" t="s">
        <v>18</v>
      </c>
      <c r="I401">
        <v>1</v>
      </c>
      <c r="J401" t="s">
        <v>23</v>
      </c>
      <c r="K401" t="s">
        <v>24</v>
      </c>
      <c r="L401">
        <v>53</v>
      </c>
      <c r="M401" t="str" cm="1">
        <f t="array" ref="M401">_xlfn.IFS(
L401&gt;50,"Old Age",
L401&gt;=31,"Middle Age",
L401&lt;31,"Young Age"
)</f>
        <v>Old Age</v>
      </c>
      <c r="N401" t="s">
        <v>15</v>
      </c>
      <c r="O401" t="str" cm="1">
        <f t="array" ref="O401">_xlfn.IFS(D401&gt;120000, "High Income", D401&gt;=80000, "Average Income", D401&lt;80000, "Low Income")</f>
        <v>Low Income</v>
      </c>
      <c r="P401">
        <f>IF(Table24[[#This Row],[Purchased Bike]]="Yes",1,0)</f>
        <v>1</v>
      </c>
    </row>
    <row r="402" spans="1:16" hidden="1" x14ac:dyDescent="0.25">
      <c r="A402">
        <v>25792</v>
      </c>
      <c r="B402" t="s">
        <v>35</v>
      </c>
      <c r="C402" t="s">
        <v>33</v>
      </c>
      <c r="D402" s="2">
        <v>110000</v>
      </c>
      <c r="E402">
        <v>3</v>
      </c>
      <c r="F402" t="s">
        <v>13</v>
      </c>
      <c r="G402" t="s">
        <v>28</v>
      </c>
      <c r="H402" t="s">
        <v>15</v>
      </c>
      <c r="I402">
        <v>4</v>
      </c>
      <c r="J402" t="s">
        <v>30</v>
      </c>
      <c r="K402" t="s">
        <v>17</v>
      </c>
      <c r="L402">
        <v>53</v>
      </c>
      <c r="M402" t="str" cm="1">
        <f t="array" ref="M402">_xlfn.IFS(
L402&gt;50,"Old Age",
L402&gt;=31,"Middle Age",
L402&lt;31,"Young Age"
)</f>
        <v>Old Age</v>
      </c>
      <c r="N402" t="s">
        <v>18</v>
      </c>
      <c r="O402" t="str" cm="1">
        <f t="array" ref="O402">_xlfn.IFS(D402&gt;120000, "High Income", D402&gt;=80000, "Average Income", D402&lt;80000, "Low Income")</f>
        <v>Average Income</v>
      </c>
      <c r="P402">
        <f>IF(Table24[[#This Row],[Purchased Bike]]="Yes",1,0)</f>
        <v>0</v>
      </c>
    </row>
    <row r="403" spans="1:16" hidden="1" x14ac:dyDescent="0.25">
      <c r="A403">
        <v>11555</v>
      </c>
      <c r="B403" t="s">
        <v>34</v>
      </c>
      <c r="C403" t="s">
        <v>33</v>
      </c>
      <c r="D403" s="2">
        <v>40000</v>
      </c>
      <c r="E403">
        <v>1</v>
      </c>
      <c r="F403" t="s">
        <v>13</v>
      </c>
      <c r="G403" t="s">
        <v>20</v>
      </c>
      <c r="H403" t="s">
        <v>15</v>
      </c>
      <c r="I403">
        <v>0</v>
      </c>
      <c r="J403" t="s">
        <v>16</v>
      </c>
      <c r="K403" t="s">
        <v>17</v>
      </c>
      <c r="L403">
        <v>80</v>
      </c>
      <c r="M403" t="str" cm="1">
        <f t="array" ref="M403">_xlfn.IFS(
L403&gt;50,"Old Age",
L403&gt;=31,"Middle Age",
L403&lt;31,"Young Age"
)</f>
        <v>Old Age</v>
      </c>
      <c r="N403" t="s">
        <v>18</v>
      </c>
      <c r="O403" t="str" cm="1">
        <f t="array" ref="O403">_xlfn.IFS(D403&gt;120000, "High Income", D403&gt;=80000, "Average Income", D403&lt;80000, "Low Income")</f>
        <v>Low Income</v>
      </c>
      <c r="P403">
        <f>IF(Table24[[#This Row],[Purchased Bike]]="Yes",1,0)</f>
        <v>0</v>
      </c>
    </row>
    <row r="404" spans="1:16" hidden="1" x14ac:dyDescent="0.25">
      <c r="A404">
        <v>22381</v>
      </c>
      <c r="B404" t="s">
        <v>34</v>
      </c>
      <c r="C404" t="s">
        <v>34</v>
      </c>
      <c r="D404" s="2">
        <v>10000</v>
      </c>
      <c r="E404">
        <v>1</v>
      </c>
      <c r="F404" t="s">
        <v>31</v>
      </c>
      <c r="G404" t="s">
        <v>25</v>
      </c>
      <c r="H404" t="s">
        <v>15</v>
      </c>
      <c r="I404">
        <v>0</v>
      </c>
      <c r="J404" t="s">
        <v>16</v>
      </c>
      <c r="K404" t="s">
        <v>17</v>
      </c>
      <c r="L404">
        <v>44</v>
      </c>
      <c r="M404" t="str" cm="1">
        <f t="array" ref="M404">_xlfn.IFS(
L404&gt;50,"Old Age",
L404&gt;=31,"Middle Age",
L404&lt;31,"Young Age"
)</f>
        <v>Middle Age</v>
      </c>
      <c r="N404" t="s">
        <v>18</v>
      </c>
      <c r="O404" t="str" cm="1">
        <f t="array" ref="O404">_xlfn.IFS(D404&gt;120000, "High Income", D404&gt;=80000, "Average Income", D404&lt;80000, "Low Income")</f>
        <v>Low Income</v>
      </c>
      <c r="P404">
        <f>IF(Table24[[#This Row],[Purchased Bike]]="Yes",1,0)</f>
        <v>0</v>
      </c>
    </row>
    <row r="405" spans="1:16" hidden="1" x14ac:dyDescent="0.25">
      <c r="A405">
        <v>17882</v>
      </c>
      <c r="B405" t="s">
        <v>34</v>
      </c>
      <c r="C405" t="s">
        <v>34</v>
      </c>
      <c r="D405" s="2">
        <v>20000</v>
      </c>
      <c r="E405">
        <v>1</v>
      </c>
      <c r="F405" t="s">
        <v>31</v>
      </c>
      <c r="G405" t="s">
        <v>20</v>
      </c>
      <c r="H405" t="s">
        <v>15</v>
      </c>
      <c r="I405">
        <v>0</v>
      </c>
      <c r="J405" t="s">
        <v>16</v>
      </c>
      <c r="K405" t="s">
        <v>17</v>
      </c>
      <c r="L405">
        <v>44</v>
      </c>
      <c r="M405" t="str" cm="1">
        <f t="array" ref="M405">_xlfn.IFS(
L405&gt;50,"Old Age",
L405&gt;=31,"Middle Age",
L405&lt;31,"Young Age"
)</f>
        <v>Middle Age</v>
      </c>
      <c r="N405" t="s">
        <v>18</v>
      </c>
      <c r="O405" t="str" cm="1">
        <f t="array" ref="O405">_xlfn.IFS(D405&gt;120000, "High Income", D405&gt;=80000, "Average Income", D405&lt;80000, "Low Income")</f>
        <v>Low Income</v>
      </c>
      <c r="P405">
        <f>IF(Table24[[#This Row],[Purchased Bike]]="Yes",1,0)</f>
        <v>0</v>
      </c>
    </row>
    <row r="406" spans="1:16" hidden="1" x14ac:dyDescent="0.25">
      <c r="A406">
        <v>22174</v>
      </c>
      <c r="B406" t="s">
        <v>34</v>
      </c>
      <c r="C406" t="s">
        <v>34</v>
      </c>
      <c r="D406" s="2">
        <v>30000</v>
      </c>
      <c r="E406">
        <v>3</v>
      </c>
      <c r="F406" t="s">
        <v>27</v>
      </c>
      <c r="G406" t="s">
        <v>14</v>
      </c>
      <c r="H406" t="s">
        <v>15</v>
      </c>
      <c r="I406">
        <v>2</v>
      </c>
      <c r="J406" t="s">
        <v>23</v>
      </c>
      <c r="K406" t="s">
        <v>24</v>
      </c>
      <c r="L406">
        <v>54</v>
      </c>
      <c r="M406" t="str" cm="1">
        <f t="array" ref="M406">_xlfn.IFS(
L406&gt;50,"Old Age",
L406&gt;=31,"Middle Age",
L406&lt;31,"Young Age"
)</f>
        <v>Old Age</v>
      </c>
      <c r="N406" t="s">
        <v>15</v>
      </c>
      <c r="O406" t="str" cm="1">
        <f t="array" ref="O406">_xlfn.IFS(D406&gt;120000, "High Income", D406&gt;=80000, "Average Income", D406&lt;80000, "Low Income")</f>
        <v>Low Income</v>
      </c>
      <c r="P406">
        <f>IF(Table24[[#This Row],[Purchased Bike]]="Yes",1,0)</f>
        <v>1</v>
      </c>
    </row>
    <row r="407" spans="1:16" x14ac:dyDescent="0.25">
      <c r="A407">
        <v>22439</v>
      </c>
      <c r="B407" t="s">
        <v>34</v>
      </c>
      <c r="C407" t="s">
        <v>33</v>
      </c>
      <c r="D407" s="2">
        <v>30000</v>
      </c>
      <c r="E407">
        <v>0</v>
      </c>
      <c r="F407" t="s">
        <v>13</v>
      </c>
      <c r="G407" t="s">
        <v>20</v>
      </c>
      <c r="H407" t="s">
        <v>15</v>
      </c>
      <c r="I407">
        <v>0</v>
      </c>
      <c r="J407" t="s">
        <v>16</v>
      </c>
      <c r="K407" t="s">
        <v>17</v>
      </c>
      <c r="L407">
        <v>37</v>
      </c>
      <c r="M407" t="str" cm="1">
        <f t="array" ref="M407">_xlfn.IFS(
L407&gt;50,"Old Age",
L407&gt;=31,"Middle Age",
L407&lt;31,"Young Age"
)</f>
        <v>Middle Age</v>
      </c>
      <c r="N407" t="s">
        <v>15</v>
      </c>
      <c r="O407" t="str" cm="1">
        <f t="array" ref="O407">_xlfn.IFS(D407&gt;120000, "High Income", D407&gt;=80000, "Average Income", D407&lt;80000, "Low Income")</f>
        <v>Low Income</v>
      </c>
      <c r="P407">
        <f>IF(Table24[[#This Row],[Purchased Bike]]="Yes",1,0)</f>
        <v>1</v>
      </c>
    </row>
    <row r="408" spans="1:16" hidden="1" x14ac:dyDescent="0.25">
      <c r="A408">
        <v>18012</v>
      </c>
      <c r="B408" t="s">
        <v>34</v>
      </c>
      <c r="C408" t="s">
        <v>33</v>
      </c>
      <c r="D408" s="2">
        <v>40000</v>
      </c>
      <c r="E408">
        <v>1</v>
      </c>
      <c r="F408" t="s">
        <v>13</v>
      </c>
      <c r="G408" t="s">
        <v>14</v>
      </c>
      <c r="H408" t="s">
        <v>15</v>
      </c>
      <c r="I408">
        <v>0</v>
      </c>
      <c r="J408" t="s">
        <v>16</v>
      </c>
      <c r="K408" t="s">
        <v>17</v>
      </c>
      <c r="L408">
        <v>41</v>
      </c>
      <c r="M408" t="str" cm="1">
        <f t="array" ref="M408">_xlfn.IFS(
L408&gt;50,"Old Age",
L408&gt;=31,"Middle Age",
L408&lt;31,"Young Age"
)</f>
        <v>Middle Age</v>
      </c>
      <c r="N408" t="s">
        <v>18</v>
      </c>
      <c r="O408" t="str" cm="1">
        <f t="array" ref="O408">_xlfn.IFS(D408&gt;120000, "High Income", D408&gt;=80000, "Average Income", D408&lt;80000, "Low Income")</f>
        <v>Low Income</v>
      </c>
      <c r="P408">
        <f>IF(Table24[[#This Row],[Purchased Bike]]="Yes",1,0)</f>
        <v>0</v>
      </c>
    </row>
    <row r="409" spans="1:16" x14ac:dyDescent="0.25">
      <c r="A409">
        <v>27582</v>
      </c>
      <c r="B409" t="s">
        <v>35</v>
      </c>
      <c r="C409" t="s">
        <v>33</v>
      </c>
      <c r="D409" s="2">
        <v>90000</v>
      </c>
      <c r="E409">
        <v>2</v>
      </c>
      <c r="F409" t="s">
        <v>13</v>
      </c>
      <c r="G409" t="s">
        <v>21</v>
      </c>
      <c r="H409" t="s">
        <v>18</v>
      </c>
      <c r="I409">
        <v>0</v>
      </c>
      <c r="J409" t="s">
        <v>16</v>
      </c>
      <c r="K409" t="s">
        <v>24</v>
      </c>
      <c r="L409">
        <v>36</v>
      </c>
      <c r="M409" t="str" cm="1">
        <f t="array" ref="M409">_xlfn.IFS(
L409&gt;50,"Old Age",
L409&gt;=31,"Middle Age",
L409&lt;31,"Young Age"
)</f>
        <v>Middle Age</v>
      </c>
      <c r="N409" t="s">
        <v>15</v>
      </c>
      <c r="O409" t="str" cm="1">
        <f t="array" ref="O409">_xlfn.IFS(D409&gt;120000, "High Income", D409&gt;=80000, "Average Income", D409&lt;80000, "Low Income")</f>
        <v>Average Income</v>
      </c>
      <c r="P409">
        <f>IF(Table24[[#This Row],[Purchased Bike]]="Yes",1,0)</f>
        <v>1</v>
      </c>
    </row>
    <row r="410" spans="1:16" hidden="1" x14ac:dyDescent="0.25">
      <c r="A410">
        <v>12744</v>
      </c>
      <c r="B410" t="s">
        <v>35</v>
      </c>
      <c r="C410" t="s">
        <v>33</v>
      </c>
      <c r="D410" s="2">
        <v>40000</v>
      </c>
      <c r="E410">
        <v>2</v>
      </c>
      <c r="F410" t="s">
        <v>19</v>
      </c>
      <c r="G410" t="s">
        <v>20</v>
      </c>
      <c r="H410" t="s">
        <v>15</v>
      </c>
      <c r="I410">
        <v>0</v>
      </c>
      <c r="J410" t="s">
        <v>16</v>
      </c>
      <c r="K410" t="s">
        <v>17</v>
      </c>
      <c r="L410">
        <v>33</v>
      </c>
      <c r="M410" t="str" cm="1">
        <f t="array" ref="M410">_xlfn.IFS(
L410&gt;50,"Old Age",
L410&gt;=31,"Middle Age",
L410&lt;31,"Young Age"
)</f>
        <v>Middle Age</v>
      </c>
      <c r="N410" t="s">
        <v>18</v>
      </c>
      <c r="O410" t="str" cm="1">
        <f t="array" ref="O410">_xlfn.IFS(D410&gt;120000, "High Income", D410&gt;=80000, "Average Income", D410&lt;80000, "Low Income")</f>
        <v>Low Income</v>
      </c>
      <c r="P410">
        <f>IF(Table24[[#This Row],[Purchased Bike]]="Yes",1,0)</f>
        <v>0</v>
      </c>
    </row>
    <row r="411" spans="1:16" hidden="1" x14ac:dyDescent="0.25">
      <c r="A411">
        <v>22821</v>
      </c>
      <c r="B411" t="s">
        <v>34</v>
      </c>
      <c r="C411" t="s">
        <v>33</v>
      </c>
      <c r="D411" s="2">
        <v>130000</v>
      </c>
      <c r="E411">
        <v>3</v>
      </c>
      <c r="F411" t="s">
        <v>19</v>
      </c>
      <c r="G411" t="s">
        <v>21</v>
      </c>
      <c r="H411" t="s">
        <v>15</v>
      </c>
      <c r="I411">
        <v>4</v>
      </c>
      <c r="J411" t="s">
        <v>16</v>
      </c>
      <c r="K411" t="s">
        <v>17</v>
      </c>
      <c r="L411">
        <v>52</v>
      </c>
      <c r="M411" t="str" cm="1">
        <f t="array" ref="M411">_xlfn.IFS(
L411&gt;50,"Old Age",
L411&gt;=31,"Middle Age",
L411&lt;31,"Young Age"
)</f>
        <v>Old Age</v>
      </c>
      <c r="N411" t="s">
        <v>18</v>
      </c>
      <c r="O411" t="str" cm="1">
        <f t="array" ref="O411">_xlfn.IFS(D411&gt;120000, "High Income", D411&gt;=80000, "Average Income", D411&lt;80000, "Low Income")</f>
        <v>High Income</v>
      </c>
      <c r="P411">
        <f>IF(Table24[[#This Row],[Purchased Bike]]="Yes",1,0)</f>
        <v>0</v>
      </c>
    </row>
    <row r="412" spans="1:16" x14ac:dyDescent="0.25">
      <c r="A412">
        <v>20171</v>
      </c>
      <c r="B412" t="s">
        <v>34</v>
      </c>
      <c r="C412" t="s">
        <v>33</v>
      </c>
      <c r="D412" s="2">
        <v>20000</v>
      </c>
      <c r="E412">
        <v>2</v>
      </c>
      <c r="F412" t="s">
        <v>19</v>
      </c>
      <c r="G412" t="s">
        <v>25</v>
      </c>
      <c r="H412" t="s">
        <v>15</v>
      </c>
      <c r="I412">
        <v>1</v>
      </c>
      <c r="J412" t="s">
        <v>16</v>
      </c>
      <c r="K412" t="s">
        <v>17</v>
      </c>
      <c r="L412">
        <v>46</v>
      </c>
      <c r="M412" t="str" cm="1">
        <f t="array" ref="M412">_xlfn.IFS(
L412&gt;50,"Old Age",
L412&gt;=31,"Middle Age",
L412&lt;31,"Young Age"
)</f>
        <v>Middle Age</v>
      </c>
      <c r="N412" t="s">
        <v>15</v>
      </c>
      <c r="O412" t="str" cm="1">
        <f t="array" ref="O412">_xlfn.IFS(D412&gt;120000, "High Income", D412&gt;=80000, "Average Income", D412&lt;80000, "Low Income")</f>
        <v>Low Income</v>
      </c>
      <c r="P412">
        <f>IF(Table24[[#This Row],[Purchased Bike]]="Yes",1,0)</f>
        <v>1</v>
      </c>
    </row>
    <row r="413" spans="1:16" hidden="1" x14ac:dyDescent="0.25">
      <c r="A413">
        <v>11116</v>
      </c>
      <c r="B413" t="s">
        <v>34</v>
      </c>
      <c r="C413" t="s">
        <v>34</v>
      </c>
      <c r="D413" s="2">
        <v>70000</v>
      </c>
      <c r="E413">
        <v>5</v>
      </c>
      <c r="F413" t="s">
        <v>19</v>
      </c>
      <c r="G413" t="s">
        <v>14</v>
      </c>
      <c r="H413" t="s">
        <v>15</v>
      </c>
      <c r="I413">
        <v>2</v>
      </c>
      <c r="J413" t="s">
        <v>23</v>
      </c>
      <c r="K413" t="s">
        <v>24</v>
      </c>
      <c r="L413">
        <v>43</v>
      </c>
      <c r="M413" t="str" cm="1">
        <f t="array" ref="M413">_xlfn.IFS(
L413&gt;50,"Old Age",
L413&gt;=31,"Middle Age",
L413&lt;31,"Young Age"
)</f>
        <v>Middle Age</v>
      </c>
      <c r="N413" t="s">
        <v>18</v>
      </c>
      <c r="O413" t="str" cm="1">
        <f t="array" ref="O413">_xlfn.IFS(D413&gt;120000, "High Income", D413&gt;=80000, "Average Income", D413&lt;80000, "Low Income")</f>
        <v>Low Income</v>
      </c>
      <c r="P413">
        <f>IF(Table24[[#This Row],[Purchased Bike]]="Yes",1,0)</f>
        <v>0</v>
      </c>
    </row>
    <row r="414" spans="1:16" hidden="1" x14ac:dyDescent="0.25">
      <c r="A414">
        <v>20053</v>
      </c>
      <c r="B414" t="s">
        <v>35</v>
      </c>
      <c r="C414" t="s">
        <v>34</v>
      </c>
      <c r="D414" s="2">
        <v>40000</v>
      </c>
      <c r="E414">
        <v>2</v>
      </c>
      <c r="F414" t="s">
        <v>19</v>
      </c>
      <c r="G414" t="s">
        <v>20</v>
      </c>
      <c r="H414" t="s">
        <v>15</v>
      </c>
      <c r="I414">
        <v>0</v>
      </c>
      <c r="J414" t="s">
        <v>16</v>
      </c>
      <c r="K414" t="s">
        <v>17</v>
      </c>
      <c r="L414">
        <v>34</v>
      </c>
      <c r="M414" t="str" cm="1">
        <f t="array" ref="M414">_xlfn.IFS(
L414&gt;50,"Old Age",
L414&gt;=31,"Middle Age",
L414&lt;31,"Young Age"
)</f>
        <v>Middle Age</v>
      </c>
      <c r="N414" t="s">
        <v>18</v>
      </c>
      <c r="O414" t="str" cm="1">
        <f t="array" ref="O414">_xlfn.IFS(D414&gt;120000, "High Income", D414&gt;=80000, "Average Income", D414&lt;80000, "Low Income")</f>
        <v>Low Income</v>
      </c>
      <c r="P414">
        <f>IF(Table24[[#This Row],[Purchased Bike]]="Yes",1,0)</f>
        <v>0</v>
      </c>
    </row>
    <row r="415" spans="1:16" hidden="1" x14ac:dyDescent="0.25">
      <c r="A415">
        <v>25266</v>
      </c>
      <c r="B415" t="s">
        <v>35</v>
      </c>
      <c r="C415" t="s">
        <v>33</v>
      </c>
      <c r="D415" s="2">
        <v>30000</v>
      </c>
      <c r="E415">
        <v>2</v>
      </c>
      <c r="F415" t="s">
        <v>19</v>
      </c>
      <c r="G415" t="s">
        <v>20</v>
      </c>
      <c r="H415" t="s">
        <v>18</v>
      </c>
      <c r="I415">
        <v>2</v>
      </c>
      <c r="J415" t="s">
        <v>23</v>
      </c>
      <c r="K415" t="s">
        <v>24</v>
      </c>
      <c r="L415">
        <v>67</v>
      </c>
      <c r="M415" t="str" cm="1">
        <f t="array" ref="M415">_xlfn.IFS(
L415&gt;50,"Old Age",
L415&gt;=31,"Middle Age",
L415&lt;31,"Young Age"
)</f>
        <v>Old Age</v>
      </c>
      <c r="N415" t="s">
        <v>18</v>
      </c>
      <c r="O415" t="str" cm="1">
        <f t="array" ref="O415">_xlfn.IFS(D415&gt;120000, "High Income", D415&gt;=80000, "Average Income", D415&lt;80000, "Low Income")</f>
        <v>Low Income</v>
      </c>
      <c r="P415">
        <f>IF(Table24[[#This Row],[Purchased Bike]]="Yes",1,0)</f>
        <v>0</v>
      </c>
    </row>
    <row r="416" spans="1:16" x14ac:dyDescent="0.25">
      <c r="A416">
        <v>17960</v>
      </c>
      <c r="B416" t="s">
        <v>34</v>
      </c>
      <c r="C416" t="s">
        <v>33</v>
      </c>
      <c r="D416" s="2">
        <v>40000</v>
      </c>
      <c r="E416">
        <v>0</v>
      </c>
      <c r="F416" t="s">
        <v>31</v>
      </c>
      <c r="G416" t="s">
        <v>20</v>
      </c>
      <c r="H416" t="s">
        <v>15</v>
      </c>
      <c r="I416">
        <v>0</v>
      </c>
      <c r="J416" t="s">
        <v>16</v>
      </c>
      <c r="K416" t="s">
        <v>17</v>
      </c>
      <c r="L416">
        <v>35</v>
      </c>
      <c r="M416" t="str" cm="1">
        <f t="array" ref="M416">_xlfn.IFS(
L416&gt;50,"Old Age",
L416&gt;=31,"Middle Age",
L416&lt;31,"Young Age"
)</f>
        <v>Middle Age</v>
      </c>
      <c r="N416" t="s">
        <v>15</v>
      </c>
      <c r="O416" t="str" cm="1">
        <f t="array" ref="O416">_xlfn.IFS(D416&gt;120000, "High Income", D416&gt;=80000, "Average Income", D416&lt;80000, "Low Income")</f>
        <v>Low Income</v>
      </c>
      <c r="P416">
        <f>IF(Table24[[#This Row],[Purchased Bike]]="Yes",1,0)</f>
        <v>1</v>
      </c>
    </row>
    <row r="417" spans="1:16" hidden="1" x14ac:dyDescent="0.25">
      <c r="A417">
        <v>13961</v>
      </c>
      <c r="B417" t="s">
        <v>34</v>
      </c>
      <c r="C417" t="s">
        <v>33</v>
      </c>
      <c r="D417" s="2">
        <v>80000</v>
      </c>
      <c r="E417">
        <v>5</v>
      </c>
      <c r="F417" t="s">
        <v>31</v>
      </c>
      <c r="G417" t="s">
        <v>28</v>
      </c>
      <c r="H417" t="s">
        <v>15</v>
      </c>
      <c r="I417">
        <v>3</v>
      </c>
      <c r="J417" t="s">
        <v>16</v>
      </c>
      <c r="K417" t="s">
        <v>24</v>
      </c>
      <c r="L417">
        <v>40</v>
      </c>
      <c r="M417" t="str" cm="1">
        <f t="array" ref="M417">_xlfn.IFS(
L417&gt;50,"Old Age",
L417&gt;=31,"Middle Age",
L417&lt;31,"Young Age"
)</f>
        <v>Middle Age</v>
      </c>
      <c r="N417" t="s">
        <v>18</v>
      </c>
      <c r="O417" t="str" cm="1">
        <f t="array" ref="O417">_xlfn.IFS(D417&gt;120000, "High Income", D417&gt;=80000, "Average Income", D417&lt;80000, "Low Income")</f>
        <v>Average Income</v>
      </c>
      <c r="P417">
        <f>IF(Table24[[#This Row],[Purchased Bike]]="Yes",1,0)</f>
        <v>0</v>
      </c>
    </row>
    <row r="418" spans="1:16" x14ac:dyDescent="0.25">
      <c r="A418">
        <v>11897</v>
      </c>
      <c r="B418" t="s">
        <v>35</v>
      </c>
      <c r="C418" t="s">
        <v>34</v>
      </c>
      <c r="D418" s="2">
        <v>60000</v>
      </c>
      <c r="E418">
        <v>2</v>
      </c>
      <c r="F418" t="s">
        <v>13</v>
      </c>
      <c r="G418" t="s">
        <v>21</v>
      </c>
      <c r="H418" t="s">
        <v>18</v>
      </c>
      <c r="I418">
        <v>1</v>
      </c>
      <c r="J418" t="s">
        <v>16</v>
      </c>
      <c r="K418" t="s">
        <v>24</v>
      </c>
      <c r="L418">
        <v>37</v>
      </c>
      <c r="M418" t="str" cm="1">
        <f t="array" ref="M418">_xlfn.IFS(
L418&gt;50,"Old Age",
L418&gt;=31,"Middle Age",
L418&lt;31,"Young Age"
)</f>
        <v>Middle Age</v>
      </c>
      <c r="N418" t="s">
        <v>15</v>
      </c>
      <c r="O418" t="str" cm="1">
        <f t="array" ref="O418">_xlfn.IFS(D418&gt;120000, "High Income", D418&gt;=80000, "Average Income", D418&lt;80000, "Low Income")</f>
        <v>Low Income</v>
      </c>
      <c r="P418">
        <f>IF(Table24[[#This Row],[Purchased Bike]]="Yes",1,0)</f>
        <v>1</v>
      </c>
    </row>
    <row r="419" spans="1:16" hidden="1" x14ac:dyDescent="0.25">
      <c r="A419">
        <v>11139</v>
      </c>
      <c r="B419" t="s">
        <v>35</v>
      </c>
      <c r="C419" t="s">
        <v>33</v>
      </c>
      <c r="D419" s="2">
        <v>30000</v>
      </c>
      <c r="E419">
        <v>2</v>
      </c>
      <c r="F419" t="s">
        <v>19</v>
      </c>
      <c r="G419" t="s">
        <v>20</v>
      </c>
      <c r="H419" t="s">
        <v>18</v>
      </c>
      <c r="I419">
        <v>2</v>
      </c>
      <c r="J419" t="s">
        <v>23</v>
      </c>
      <c r="K419" t="s">
        <v>24</v>
      </c>
      <c r="L419">
        <v>67</v>
      </c>
      <c r="M419" t="str" cm="1">
        <f t="array" ref="M419">_xlfn.IFS(
L419&gt;50,"Old Age",
L419&gt;=31,"Middle Age",
L419&lt;31,"Young Age"
)</f>
        <v>Old Age</v>
      </c>
      <c r="N419" t="s">
        <v>18</v>
      </c>
      <c r="O419" t="str" cm="1">
        <f t="array" ref="O419">_xlfn.IFS(D419&gt;120000, "High Income", D419&gt;=80000, "Average Income", D419&lt;80000, "Low Income")</f>
        <v>Low Income</v>
      </c>
      <c r="P419">
        <f>IF(Table24[[#This Row],[Purchased Bike]]="Yes",1,0)</f>
        <v>0</v>
      </c>
    </row>
    <row r="420" spans="1:16" x14ac:dyDescent="0.25">
      <c r="A420">
        <v>11576</v>
      </c>
      <c r="B420" t="s">
        <v>34</v>
      </c>
      <c r="C420" t="s">
        <v>34</v>
      </c>
      <c r="D420" s="2">
        <v>30000</v>
      </c>
      <c r="E420">
        <v>1</v>
      </c>
      <c r="F420" t="s">
        <v>13</v>
      </c>
      <c r="G420" t="s">
        <v>14</v>
      </c>
      <c r="H420" t="s">
        <v>15</v>
      </c>
      <c r="I420">
        <v>2</v>
      </c>
      <c r="J420" t="s">
        <v>16</v>
      </c>
      <c r="K420" t="s">
        <v>17</v>
      </c>
      <c r="L420">
        <v>41</v>
      </c>
      <c r="M420" t="str" cm="1">
        <f t="array" ref="M420">_xlfn.IFS(
L420&gt;50,"Old Age",
L420&gt;=31,"Middle Age",
L420&lt;31,"Young Age"
)</f>
        <v>Middle Age</v>
      </c>
      <c r="N420" t="s">
        <v>15</v>
      </c>
      <c r="O420" t="str" cm="1">
        <f t="array" ref="O420">_xlfn.IFS(D420&gt;120000, "High Income", D420&gt;=80000, "Average Income", D420&lt;80000, "Low Income")</f>
        <v>Low Income</v>
      </c>
      <c r="P420">
        <f>IF(Table24[[#This Row],[Purchased Bike]]="Yes",1,0)</f>
        <v>1</v>
      </c>
    </row>
    <row r="421" spans="1:16" hidden="1" x14ac:dyDescent="0.25">
      <c r="A421">
        <v>19255</v>
      </c>
      <c r="B421" t="s">
        <v>35</v>
      </c>
      <c r="C421" t="s">
        <v>34</v>
      </c>
      <c r="D421" s="2">
        <v>10000</v>
      </c>
      <c r="E421">
        <v>2</v>
      </c>
      <c r="F421" t="s">
        <v>19</v>
      </c>
      <c r="G421" t="s">
        <v>25</v>
      </c>
      <c r="H421" t="s">
        <v>15</v>
      </c>
      <c r="I421">
        <v>1</v>
      </c>
      <c r="J421" t="s">
        <v>16</v>
      </c>
      <c r="K421" t="s">
        <v>17</v>
      </c>
      <c r="L421">
        <v>51</v>
      </c>
      <c r="M421" t="str" cm="1">
        <f t="array" ref="M421">_xlfn.IFS(
L421&gt;50,"Old Age",
L421&gt;=31,"Middle Age",
L421&lt;31,"Young Age"
)</f>
        <v>Old Age</v>
      </c>
      <c r="N421" t="s">
        <v>15</v>
      </c>
      <c r="O421" t="str" cm="1">
        <f t="array" ref="O421">_xlfn.IFS(D421&gt;120000, "High Income", D421&gt;=80000, "Average Income", D421&lt;80000, "Low Income")</f>
        <v>Low Income</v>
      </c>
      <c r="P421">
        <f>IF(Table24[[#This Row],[Purchased Bike]]="Yes",1,0)</f>
        <v>1</v>
      </c>
    </row>
    <row r="422" spans="1:16" hidden="1" x14ac:dyDescent="0.25">
      <c r="A422">
        <v>18153</v>
      </c>
      <c r="B422" t="s">
        <v>34</v>
      </c>
      <c r="C422" t="s">
        <v>33</v>
      </c>
      <c r="D422" s="2">
        <v>100000</v>
      </c>
      <c r="E422">
        <v>2</v>
      </c>
      <c r="F422" t="s">
        <v>13</v>
      </c>
      <c r="G422" t="s">
        <v>28</v>
      </c>
      <c r="H422" t="s">
        <v>15</v>
      </c>
      <c r="I422">
        <v>4</v>
      </c>
      <c r="J422" t="s">
        <v>30</v>
      </c>
      <c r="K422" t="s">
        <v>17</v>
      </c>
      <c r="L422">
        <v>59</v>
      </c>
      <c r="M422" t="str" cm="1">
        <f t="array" ref="M422">_xlfn.IFS(
L422&gt;50,"Old Age",
L422&gt;=31,"Middle Age",
L422&lt;31,"Young Age"
)</f>
        <v>Old Age</v>
      </c>
      <c r="N422" t="s">
        <v>18</v>
      </c>
      <c r="O422" t="str" cm="1">
        <f t="array" ref="O422">_xlfn.IFS(D422&gt;120000, "High Income", D422&gt;=80000, "Average Income", D422&lt;80000, "Low Income")</f>
        <v>Average Income</v>
      </c>
      <c r="P422">
        <f>IF(Table24[[#This Row],[Purchased Bike]]="Yes",1,0)</f>
        <v>0</v>
      </c>
    </row>
    <row r="423" spans="1:16" hidden="1" x14ac:dyDescent="0.25">
      <c r="A423">
        <v>14547</v>
      </c>
      <c r="B423" t="s">
        <v>34</v>
      </c>
      <c r="C423" t="s">
        <v>34</v>
      </c>
      <c r="D423" s="2">
        <v>10000</v>
      </c>
      <c r="E423">
        <v>2</v>
      </c>
      <c r="F423" t="s">
        <v>19</v>
      </c>
      <c r="G423" t="s">
        <v>25</v>
      </c>
      <c r="H423" t="s">
        <v>15</v>
      </c>
      <c r="I423">
        <v>0</v>
      </c>
      <c r="J423" t="s">
        <v>26</v>
      </c>
      <c r="K423" t="s">
        <v>17</v>
      </c>
      <c r="L423">
        <v>51</v>
      </c>
      <c r="M423" t="str" cm="1">
        <f t="array" ref="M423">_xlfn.IFS(
L423&gt;50,"Old Age",
L423&gt;=31,"Middle Age",
L423&lt;31,"Young Age"
)</f>
        <v>Old Age</v>
      </c>
      <c r="N423" t="s">
        <v>18</v>
      </c>
      <c r="O423" t="str" cm="1">
        <f t="array" ref="O423">_xlfn.IFS(D423&gt;120000, "High Income", D423&gt;=80000, "Average Income", D423&lt;80000, "Low Income")</f>
        <v>Low Income</v>
      </c>
      <c r="P423">
        <f>IF(Table24[[#This Row],[Purchased Bike]]="Yes",1,0)</f>
        <v>0</v>
      </c>
    </row>
    <row r="424" spans="1:16" x14ac:dyDescent="0.25">
      <c r="A424">
        <v>24901</v>
      </c>
      <c r="B424" t="s">
        <v>35</v>
      </c>
      <c r="C424" t="s">
        <v>34</v>
      </c>
      <c r="D424" s="2">
        <v>110000</v>
      </c>
      <c r="E424">
        <v>0</v>
      </c>
      <c r="F424" t="s">
        <v>19</v>
      </c>
      <c r="G424" t="s">
        <v>28</v>
      </c>
      <c r="H424" t="s">
        <v>18</v>
      </c>
      <c r="I424">
        <v>3</v>
      </c>
      <c r="J424" t="s">
        <v>30</v>
      </c>
      <c r="K424" t="s">
        <v>24</v>
      </c>
      <c r="L424">
        <v>32</v>
      </c>
      <c r="M424" t="str" cm="1">
        <f t="array" ref="M424">_xlfn.IFS(
L424&gt;50,"Old Age",
L424&gt;=31,"Middle Age",
L424&lt;31,"Young Age"
)</f>
        <v>Middle Age</v>
      </c>
      <c r="N424" t="s">
        <v>15</v>
      </c>
      <c r="O424" t="str" cm="1">
        <f t="array" ref="O424">_xlfn.IFS(D424&gt;120000, "High Income", D424&gt;=80000, "Average Income", D424&lt;80000, "Low Income")</f>
        <v>Average Income</v>
      </c>
      <c r="P424">
        <f>IF(Table24[[#This Row],[Purchased Bike]]="Yes",1,0)</f>
        <v>1</v>
      </c>
    </row>
    <row r="425" spans="1:16" x14ac:dyDescent="0.25">
      <c r="A425">
        <v>27169</v>
      </c>
      <c r="B425" t="s">
        <v>35</v>
      </c>
      <c r="C425" t="s">
        <v>34</v>
      </c>
      <c r="D425" s="2">
        <v>30000</v>
      </c>
      <c r="E425">
        <v>0</v>
      </c>
      <c r="F425" t="s">
        <v>27</v>
      </c>
      <c r="G425" t="s">
        <v>25</v>
      </c>
      <c r="H425" t="s">
        <v>15</v>
      </c>
      <c r="I425">
        <v>1</v>
      </c>
      <c r="J425" t="s">
        <v>22</v>
      </c>
      <c r="K425" t="s">
        <v>17</v>
      </c>
      <c r="L425">
        <v>34</v>
      </c>
      <c r="M425" t="str" cm="1">
        <f t="array" ref="M425">_xlfn.IFS(
L425&gt;50,"Old Age",
L425&gt;=31,"Middle Age",
L425&lt;31,"Young Age"
)</f>
        <v>Middle Age</v>
      </c>
      <c r="N425" t="s">
        <v>15</v>
      </c>
      <c r="O425" t="str" cm="1">
        <f t="array" ref="O425">_xlfn.IFS(D425&gt;120000, "High Income", D425&gt;=80000, "Average Income", D425&lt;80000, "Low Income")</f>
        <v>Low Income</v>
      </c>
      <c r="P425">
        <f>IF(Table24[[#This Row],[Purchased Bike]]="Yes",1,0)</f>
        <v>1</v>
      </c>
    </row>
    <row r="426" spans="1:16" hidden="1" x14ac:dyDescent="0.25">
      <c r="A426">
        <v>14805</v>
      </c>
      <c r="B426" t="s">
        <v>35</v>
      </c>
      <c r="C426" t="s">
        <v>33</v>
      </c>
      <c r="D426" s="2">
        <v>10000</v>
      </c>
      <c r="E426">
        <v>3</v>
      </c>
      <c r="F426" t="s">
        <v>29</v>
      </c>
      <c r="G426" t="s">
        <v>25</v>
      </c>
      <c r="H426" t="s">
        <v>15</v>
      </c>
      <c r="I426">
        <v>2</v>
      </c>
      <c r="J426" t="s">
        <v>16</v>
      </c>
      <c r="K426" t="s">
        <v>17</v>
      </c>
      <c r="L426">
        <v>43</v>
      </c>
      <c r="M426" t="str" cm="1">
        <f t="array" ref="M426">_xlfn.IFS(
L426&gt;50,"Old Age",
L426&gt;=31,"Middle Age",
L426&lt;31,"Young Age"
)</f>
        <v>Middle Age</v>
      </c>
      <c r="N426" t="s">
        <v>18</v>
      </c>
      <c r="O426" t="str" cm="1">
        <f t="array" ref="O426">_xlfn.IFS(D426&gt;120000, "High Income", D426&gt;=80000, "Average Income", D426&lt;80000, "Low Income")</f>
        <v>Low Income</v>
      </c>
      <c r="P426">
        <f>IF(Table24[[#This Row],[Purchased Bike]]="Yes",1,0)</f>
        <v>0</v>
      </c>
    </row>
    <row r="427" spans="1:16" hidden="1" x14ac:dyDescent="0.25">
      <c r="A427">
        <v>15822</v>
      </c>
      <c r="B427" t="s">
        <v>34</v>
      </c>
      <c r="C427" t="s">
        <v>34</v>
      </c>
      <c r="D427" s="2">
        <v>40000</v>
      </c>
      <c r="E427">
        <v>2</v>
      </c>
      <c r="F427" t="s">
        <v>13</v>
      </c>
      <c r="G427" t="s">
        <v>28</v>
      </c>
      <c r="H427" t="s">
        <v>15</v>
      </c>
      <c r="I427">
        <v>2</v>
      </c>
      <c r="J427" t="s">
        <v>16</v>
      </c>
      <c r="K427" t="s">
        <v>24</v>
      </c>
      <c r="L427">
        <v>67</v>
      </c>
      <c r="M427" t="str" cm="1">
        <f t="array" ref="M427">_xlfn.IFS(
L427&gt;50,"Old Age",
L427&gt;=31,"Middle Age",
L427&lt;31,"Young Age"
)</f>
        <v>Old Age</v>
      </c>
      <c r="N427" t="s">
        <v>18</v>
      </c>
      <c r="O427" t="str" cm="1">
        <f t="array" ref="O427">_xlfn.IFS(D427&gt;120000, "High Income", D427&gt;=80000, "Average Income", D427&lt;80000, "Low Income")</f>
        <v>Low Income</v>
      </c>
      <c r="P427">
        <f>IF(Table24[[#This Row],[Purchased Bike]]="Yes",1,0)</f>
        <v>0</v>
      </c>
    </row>
    <row r="428" spans="1:16" hidden="1" x14ac:dyDescent="0.25">
      <c r="A428">
        <v>19389</v>
      </c>
      <c r="B428" t="s">
        <v>35</v>
      </c>
      <c r="C428" t="s">
        <v>34</v>
      </c>
      <c r="D428" s="2">
        <v>30000</v>
      </c>
      <c r="E428">
        <v>0</v>
      </c>
      <c r="F428" t="s">
        <v>19</v>
      </c>
      <c r="G428" t="s">
        <v>20</v>
      </c>
      <c r="H428" t="s">
        <v>18</v>
      </c>
      <c r="I428">
        <v>1</v>
      </c>
      <c r="J428" t="s">
        <v>22</v>
      </c>
      <c r="K428" t="s">
        <v>17</v>
      </c>
      <c r="L428">
        <v>28</v>
      </c>
      <c r="M428" t="str" cm="1">
        <f t="array" ref="M428">_xlfn.IFS(
L428&gt;50,"Old Age",
L428&gt;=31,"Middle Age",
L428&lt;31,"Young Age"
)</f>
        <v>Young Age</v>
      </c>
      <c r="N428" t="s">
        <v>18</v>
      </c>
      <c r="O428" t="str" cm="1">
        <f t="array" ref="O428">_xlfn.IFS(D428&gt;120000, "High Income", D428&gt;=80000, "Average Income", D428&lt;80000, "Low Income")</f>
        <v>Low Income</v>
      </c>
      <c r="P428">
        <f>IF(Table24[[#This Row],[Purchased Bike]]="Yes",1,0)</f>
        <v>0</v>
      </c>
    </row>
    <row r="429" spans="1:16" x14ac:dyDescent="0.25">
      <c r="A429">
        <v>17048</v>
      </c>
      <c r="B429" t="s">
        <v>35</v>
      </c>
      <c r="C429" t="s">
        <v>33</v>
      </c>
      <c r="D429" s="2">
        <v>90000</v>
      </c>
      <c r="E429">
        <v>1</v>
      </c>
      <c r="F429" t="s">
        <v>31</v>
      </c>
      <c r="G429" t="s">
        <v>28</v>
      </c>
      <c r="H429" t="s">
        <v>15</v>
      </c>
      <c r="I429">
        <v>0</v>
      </c>
      <c r="J429" t="s">
        <v>16</v>
      </c>
      <c r="K429" t="s">
        <v>24</v>
      </c>
      <c r="L429">
        <v>36</v>
      </c>
      <c r="M429" t="str" cm="1">
        <f t="array" ref="M429">_xlfn.IFS(
L429&gt;50,"Old Age",
L429&gt;=31,"Middle Age",
L429&lt;31,"Young Age"
)</f>
        <v>Middle Age</v>
      </c>
      <c r="N429" t="s">
        <v>15</v>
      </c>
      <c r="O429" t="str" cm="1">
        <f t="array" ref="O429">_xlfn.IFS(D429&gt;120000, "High Income", D429&gt;=80000, "Average Income", D429&lt;80000, "Low Income")</f>
        <v>Average Income</v>
      </c>
      <c r="P429">
        <f>IF(Table24[[#This Row],[Purchased Bike]]="Yes",1,0)</f>
        <v>1</v>
      </c>
    </row>
    <row r="430" spans="1:16" hidden="1" x14ac:dyDescent="0.25">
      <c r="A430">
        <v>22204</v>
      </c>
      <c r="B430" t="s">
        <v>34</v>
      </c>
      <c r="C430" t="s">
        <v>34</v>
      </c>
      <c r="D430" s="2">
        <v>110000</v>
      </c>
      <c r="E430">
        <v>4</v>
      </c>
      <c r="F430" t="s">
        <v>13</v>
      </c>
      <c r="G430" t="s">
        <v>28</v>
      </c>
      <c r="H430" t="s">
        <v>15</v>
      </c>
      <c r="I430">
        <v>3</v>
      </c>
      <c r="J430" t="s">
        <v>22</v>
      </c>
      <c r="K430" t="s">
        <v>24</v>
      </c>
      <c r="L430">
        <v>48</v>
      </c>
      <c r="M430" t="str" cm="1">
        <f t="array" ref="M430">_xlfn.IFS(
L430&gt;50,"Old Age",
L430&gt;=31,"Middle Age",
L430&lt;31,"Young Age"
)</f>
        <v>Middle Age</v>
      </c>
      <c r="N430" t="s">
        <v>18</v>
      </c>
      <c r="O430" t="str" cm="1">
        <f t="array" ref="O430">_xlfn.IFS(D430&gt;120000, "High Income", D430&gt;=80000, "Average Income", D430&lt;80000, "Low Income")</f>
        <v>Average Income</v>
      </c>
      <c r="P430">
        <f>IF(Table24[[#This Row],[Purchased Bike]]="Yes",1,0)</f>
        <v>0</v>
      </c>
    </row>
    <row r="431" spans="1:16" hidden="1" x14ac:dyDescent="0.25">
      <c r="A431">
        <v>12718</v>
      </c>
      <c r="B431" t="s">
        <v>35</v>
      </c>
      <c r="C431" t="s">
        <v>33</v>
      </c>
      <c r="D431" s="2">
        <v>30000</v>
      </c>
      <c r="E431">
        <v>0</v>
      </c>
      <c r="F431" t="s">
        <v>19</v>
      </c>
      <c r="G431" t="s">
        <v>20</v>
      </c>
      <c r="H431" t="s">
        <v>15</v>
      </c>
      <c r="I431">
        <v>1</v>
      </c>
      <c r="J431" t="s">
        <v>22</v>
      </c>
      <c r="K431" t="s">
        <v>17</v>
      </c>
      <c r="L431">
        <v>31</v>
      </c>
      <c r="M431" t="str" cm="1">
        <f t="array" ref="M431">_xlfn.IFS(
L431&gt;50,"Old Age",
L431&gt;=31,"Middle Age",
L431&lt;31,"Young Age"
)</f>
        <v>Middle Age</v>
      </c>
      <c r="N431" t="s">
        <v>18</v>
      </c>
      <c r="O431" t="str" cm="1">
        <f t="array" ref="O431">_xlfn.IFS(D431&gt;120000, "High Income", D431&gt;=80000, "Average Income", D431&lt;80000, "Low Income")</f>
        <v>Low Income</v>
      </c>
      <c r="P431">
        <f>IF(Table24[[#This Row],[Purchased Bike]]="Yes",1,0)</f>
        <v>0</v>
      </c>
    </row>
    <row r="432" spans="1:16" hidden="1" x14ac:dyDescent="0.25">
      <c r="A432">
        <v>15019</v>
      </c>
      <c r="B432" t="s">
        <v>35</v>
      </c>
      <c r="C432" t="s">
        <v>33</v>
      </c>
      <c r="D432" s="2">
        <v>30000</v>
      </c>
      <c r="E432">
        <v>3</v>
      </c>
      <c r="F432" t="s">
        <v>27</v>
      </c>
      <c r="G432" t="s">
        <v>14</v>
      </c>
      <c r="H432" t="s">
        <v>15</v>
      </c>
      <c r="I432">
        <v>2</v>
      </c>
      <c r="J432" t="s">
        <v>23</v>
      </c>
      <c r="K432" t="s">
        <v>24</v>
      </c>
      <c r="L432">
        <v>55</v>
      </c>
      <c r="M432" t="str" cm="1">
        <f t="array" ref="M432">_xlfn.IFS(
L432&gt;50,"Old Age",
L432&gt;=31,"Middle Age",
L432&lt;31,"Young Age"
)</f>
        <v>Old Age</v>
      </c>
      <c r="N432" t="s">
        <v>18</v>
      </c>
      <c r="O432" t="str" cm="1">
        <f t="array" ref="O432">_xlfn.IFS(D432&gt;120000, "High Income", D432&gt;=80000, "Average Income", D432&lt;80000, "Low Income")</f>
        <v>Low Income</v>
      </c>
      <c r="P432">
        <f>IF(Table24[[#This Row],[Purchased Bike]]="Yes",1,0)</f>
        <v>0</v>
      </c>
    </row>
    <row r="433" spans="1:16" hidden="1" x14ac:dyDescent="0.25">
      <c r="A433">
        <v>28488</v>
      </c>
      <c r="B433" t="s">
        <v>35</v>
      </c>
      <c r="C433" t="s">
        <v>34</v>
      </c>
      <c r="D433" s="2">
        <v>20000</v>
      </c>
      <c r="E433">
        <v>0</v>
      </c>
      <c r="F433" t="s">
        <v>19</v>
      </c>
      <c r="G433" t="s">
        <v>25</v>
      </c>
      <c r="H433" t="s">
        <v>15</v>
      </c>
      <c r="I433">
        <v>0</v>
      </c>
      <c r="J433" t="s">
        <v>16</v>
      </c>
      <c r="K433" t="s">
        <v>24</v>
      </c>
      <c r="L433">
        <v>28</v>
      </c>
      <c r="M433" t="str" cm="1">
        <f t="array" ref="M433">_xlfn.IFS(
L433&gt;50,"Old Age",
L433&gt;=31,"Middle Age",
L433&lt;31,"Young Age"
)</f>
        <v>Young Age</v>
      </c>
      <c r="N433" t="s">
        <v>15</v>
      </c>
      <c r="O433" t="str" cm="1">
        <f t="array" ref="O433">_xlfn.IFS(D433&gt;120000, "High Income", D433&gt;=80000, "Average Income", D433&lt;80000, "Low Income")</f>
        <v>Low Income</v>
      </c>
      <c r="P433">
        <f>IF(Table24[[#This Row],[Purchased Bike]]="Yes",1,0)</f>
        <v>1</v>
      </c>
    </row>
    <row r="434" spans="1:16" x14ac:dyDescent="0.25">
      <c r="A434">
        <v>21891</v>
      </c>
      <c r="B434" t="s">
        <v>34</v>
      </c>
      <c r="C434" t="s">
        <v>33</v>
      </c>
      <c r="D434" s="2">
        <v>110000</v>
      </c>
      <c r="E434">
        <v>0</v>
      </c>
      <c r="F434" t="s">
        <v>27</v>
      </c>
      <c r="G434" t="s">
        <v>28</v>
      </c>
      <c r="H434" t="s">
        <v>15</v>
      </c>
      <c r="I434">
        <v>3</v>
      </c>
      <c r="J434" t="s">
        <v>30</v>
      </c>
      <c r="K434" t="s">
        <v>24</v>
      </c>
      <c r="L434">
        <v>34</v>
      </c>
      <c r="M434" t="str" cm="1">
        <f t="array" ref="M434">_xlfn.IFS(
L434&gt;50,"Old Age",
L434&gt;=31,"Middle Age",
L434&lt;31,"Young Age"
)</f>
        <v>Middle Age</v>
      </c>
      <c r="N434" t="s">
        <v>15</v>
      </c>
      <c r="O434" t="str" cm="1">
        <f t="array" ref="O434">_xlfn.IFS(D434&gt;120000, "High Income", D434&gt;=80000, "Average Income", D434&lt;80000, "Low Income")</f>
        <v>Average Income</v>
      </c>
      <c r="P434">
        <f>IF(Table24[[#This Row],[Purchased Bike]]="Yes",1,0)</f>
        <v>1</v>
      </c>
    </row>
    <row r="435" spans="1:16" hidden="1" x14ac:dyDescent="0.25">
      <c r="A435">
        <v>27814</v>
      </c>
      <c r="B435" t="s">
        <v>35</v>
      </c>
      <c r="C435" t="s">
        <v>33</v>
      </c>
      <c r="D435" s="2">
        <v>30000</v>
      </c>
      <c r="E435">
        <v>3</v>
      </c>
      <c r="F435" t="s">
        <v>19</v>
      </c>
      <c r="G435" t="s">
        <v>20</v>
      </c>
      <c r="H435" t="s">
        <v>18</v>
      </c>
      <c r="I435">
        <v>1</v>
      </c>
      <c r="J435" t="s">
        <v>16</v>
      </c>
      <c r="K435" t="s">
        <v>17</v>
      </c>
      <c r="L435">
        <v>26</v>
      </c>
      <c r="M435" t="str" cm="1">
        <f t="array" ref="M435">_xlfn.IFS(
L435&gt;50,"Old Age",
L435&gt;=31,"Middle Age",
L435&lt;31,"Young Age"
)</f>
        <v>Young Age</v>
      </c>
      <c r="N435" t="s">
        <v>18</v>
      </c>
      <c r="O435" t="str" cm="1">
        <f t="array" ref="O435">_xlfn.IFS(D435&gt;120000, "High Income", D435&gt;=80000, "Average Income", D435&lt;80000, "Low Income")</f>
        <v>Low Income</v>
      </c>
      <c r="P435">
        <f>IF(Table24[[#This Row],[Purchased Bike]]="Yes",1,0)</f>
        <v>0</v>
      </c>
    </row>
    <row r="436" spans="1:16" hidden="1" x14ac:dyDescent="0.25">
      <c r="A436">
        <v>22175</v>
      </c>
      <c r="B436" t="s">
        <v>34</v>
      </c>
      <c r="C436" t="s">
        <v>33</v>
      </c>
      <c r="D436" s="2">
        <v>30000</v>
      </c>
      <c r="E436">
        <v>3</v>
      </c>
      <c r="F436" t="s">
        <v>27</v>
      </c>
      <c r="G436" t="s">
        <v>14</v>
      </c>
      <c r="H436" t="s">
        <v>15</v>
      </c>
      <c r="I436">
        <v>2</v>
      </c>
      <c r="J436" t="s">
        <v>23</v>
      </c>
      <c r="K436" t="s">
        <v>24</v>
      </c>
      <c r="L436">
        <v>53</v>
      </c>
      <c r="M436" t="str" cm="1">
        <f t="array" ref="M436">_xlfn.IFS(
L436&gt;50,"Old Age",
L436&gt;=31,"Middle Age",
L436&lt;31,"Young Age"
)</f>
        <v>Old Age</v>
      </c>
      <c r="N436" t="s">
        <v>15</v>
      </c>
      <c r="O436" t="str" cm="1">
        <f t="array" ref="O436">_xlfn.IFS(D436&gt;120000, "High Income", D436&gt;=80000, "Average Income", D436&lt;80000, "Low Income")</f>
        <v>Low Income</v>
      </c>
      <c r="P436">
        <f>IF(Table24[[#This Row],[Purchased Bike]]="Yes",1,0)</f>
        <v>1</v>
      </c>
    </row>
    <row r="437" spans="1:16" hidden="1" x14ac:dyDescent="0.25">
      <c r="A437">
        <v>29447</v>
      </c>
      <c r="B437" t="s">
        <v>35</v>
      </c>
      <c r="C437" t="s">
        <v>33</v>
      </c>
      <c r="D437" s="2">
        <v>10000</v>
      </c>
      <c r="E437">
        <v>2</v>
      </c>
      <c r="F437" t="s">
        <v>13</v>
      </c>
      <c r="G437" t="s">
        <v>20</v>
      </c>
      <c r="H437" t="s">
        <v>18</v>
      </c>
      <c r="I437">
        <v>1</v>
      </c>
      <c r="J437" t="s">
        <v>22</v>
      </c>
      <c r="K437" t="s">
        <v>17</v>
      </c>
      <c r="L437">
        <v>68</v>
      </c>
      <c r="M437" t="str" cm="1">
        <f t="array" ref="M437">_xlfn.IFS(
L437&gt;50,"Old Age",
L437&gt;=31,"Middle Age",
L437&lt;31,"Young Age"
)</f>
        <v>Old Age</v>
      </c>
      <c r="N437" t="s">
        <v>18</v>
      </c>
      <c r="O437" t="str" cm="1">
        <f t="array" ref="O437">_xlfn.IFS(D437&gt;120000, "High Income", D437&gt;=80000, "Average Income", D437&lt;80000, "Low Income")</f>
        <v>Low Income</v>
      </c>
      <c r="P437">
        <f>IF(Table24[[#This Row],[Purchased Bike]]="Yes",1,0)</f>
        <v>0</v>
      </c>
    </row>
    <row r="438" spans="1:16" x14ac:dyDescent="0.25">
      <c r="A438">
        <v>19784</v>
      </c>
      <c r="B438" t="s">
        <v>34</v>
      </c>
      <c r="C438" t="s">
        <v>33</v>
      </c>
      <c r="D438" s="2">
        <v>80000</v>
      </c>
      <c r="E438">
        <v>2</v>
      </c>
      <c r="F438" t="s">
        <v>27</v>
      </c>
      <c r="G438" t="s">
        <v>14</v>
      </c>
      <c r="H438" t="s">
        <v>15</v>
      </c>
      <c r="I438">
        <v>2</v>
      </c>
      <c r="J438" t="s">
        <v>23</v>
      </c>
      <c r="K438" t="s">
        <v>24</v>
      </c>
      <c r="L438">
        <v>50</v>
      </c>
      <c r="M438" t="str" cm="1">
        <f t="array" ref="M438">_xlfn.IFS(
L438&gt;50,"Old Age",
L438&gt;=31,"Middle Age",
L438&lt;31,"Young Age"
)</f>
        <v>Middle Age</v>
      </c>
      <c r="N438" t="s">
        <v>15</v>
      </c>
      <c r="O438" t="str" cm="1">
        <f t="array" ref="O438">_xlfn.IFS(D438&gt;120000, "High Income", D438&gt;=80000, "Average Income", D438&lt;80000, "Low Income")</f>
        <v>Average Income</v>
      </c>
      <c r="P438">
        <f>IF(Table24[[#This Row],[Purchased Bike]]="Yes",1,0)</f>
        <v>1</v>
      </c>
    </row>
    <row r="439" spans="1:16" hidden="1" x14ac:dyDescent="0.25">
      <c r="A439">
        <v>27824</v>
      </c>
      <c r="B439" t="s">
        <v>35</v>
      </c>
      <c r="C439" t="s">
        <v>33</v>
      </c>
      <c r="D439" s="2">
        <v>30000</v>
      </c>
      <c r="E439">
        <v>3</v>
      </c>
      <c r="F439" t="s">
        <v>19</v>
      </c>
      <c r="G439" t="s">
        <v>20</v>
      </c>
      <c r="H439" t="s">
        <v>15</v>
      </c>
      <c r="I439">
        <v>2</v>
      </c>
      <c r="J439" t="s">
        <v>16</v>
      </c>
      <c r="K439" t="s">
        <v>17</v>
      </c>
      <c r="L439">
        <v>28</v>
      </c>
      <c r="M439" t="str" cm="1">
        <f t="array" ref="M439">_xlfn.IFS(
L439&gt;50,"Old Age",
L439&gt;=31,"Middle Age",
L439&lt;31,"Young Age"
)</f>
        <v>Young Age</v>
      </c>
      <c r="N439" t="s">
        <v>15</v>
      </c>
      <c r="O439" t="str" cm="1">
        <f t="array" ref="O439">_xlfn.IFS(D439&gt;120000, "High Income", D439&gt;=80000, "Average Income", D439&lt;80000, "Low Income")</f>
        <v>Low Income</v>
      </c>
      <c r="P439">
        <f>IF(Table24[[#This Row],[Purchased Bike]]="Yes",1,0)</f>
        <v>1</v>
      </c>
    </row>
    <row r="440" spans="1:16" x14ac:dyDescent="0.25">
      <c r="A440">
        <v>24093</v>
      </c>
      <c r="B440" t="s">
        <v>35</v>
      </c>
      <c r="C440" t="s">
        <v>33</v>
      </c>
      <c r="D440" s="2">
        <v>80000</v>
      </c>
      <c r="E440">
        <v>0</v>
      </c>
      <c r="F440" t="s">
        <v>31</v>
      </c>
      <c r="G440" t="s">
        <v>14</v>
      </c>
      <c r="H440" t="s">
        <v>18</v>
      </c>
      <c r="I440">
        <v>0</v>
      </c>
      <c r="J440" t="s">
        <v>16</v>
      </c>
      <c r="K440" t="s">
        <v>17</v>
      </c>
      <c r="L440">
        <v>40</v>
      </c>
      <c r="M440" t="str" cm="1">
        <f t="array" ref="M440">_xlfn.IFS(
L440&gt;50,"Old Age",
L440&gt;=31,"Middle Age",
L440&lt;31,"Young Age"
)</f>
        <v>Middle Age</v>
      </c>
      <c r="N440" t="s">
        <v>15</v>
      </c>
      <c r="O440" t="str" cm="1">
        <f t="array" ref="O440">_xlfn.IFS(D440&gt;120000, "High Income", D440&gt;=80000, "Average Income", D440&lt;80000, "Low Income")</f>
        <v>Average Income</v>
      </c>
      <c r="P440">
        <f>IF(Table24[[#This Row],[Purchased Bike]]="Yes",1,0)</f>
        <v>1</v>
      </c>
    </row>
    <row r="441" spans="1:16" hidden="1" x14ac:dyDescent="0.25">
      <c r="A441">
        <v>19618</v>
      </c>
      <c r="B441" t="s">
        <v>34</v>
      </c>
      <c r="C441" t="s">
        <v>34</v>
      </c>
      <c r="D441" s="2">
        <v>70000</v>
      </c>
      <c r="E441">
        <v>5</v>
      </c>
      <c r="F441" t="s">
        <v>19</v>
      </c>
      <c r="G441" t="s">
        <v>14</v>
      </c>
      <c r="H441" t="s">
        <v>15</v>
      </c>
      <c r="I441">
        <v>2</v>
      </c>
      <c r="J441" t="s">
        <v>16</v>
      </c>
      <c r="K441" t="s">
        <v>24</v>
      </c>
      <c r="L441">
        <v>44</v>
      </c>
      <c r="M441" t="str" cm="1">
        <f t="array" ref="M441">_xlfn.IFS(
L441&gt;50,"Old Age",
L441&gt;=31,"Middle Age",
L441&lt;31,"Young Age"
)</f>
        <v>Middle Age</v>
      </c>
      <c r="N441" t="s">
        <v>18</v>
      </c>
      <c r="O441" t="str" cm="1">
        <f t="array" ref="O441">_xlfn.IFS(D441&gt;120000, "High Income", D441&gt;=80000, "Average Income", D441&lt;80000, "Low Income")</f>
        <v>Low Income</v>
      </c>
      <c r="P441">
        <f>IF(Table24[[#This Row],[Purchased Bike]]="Yes",1,0)</f>
        <v>0</v>
      </c>
    </row>
    <row r="442" spans="1:16" x14ac:dyDescent="0.25">
      <c r="A442">
        <v>21561</v>
      </c>
      <c r="B442" t="s">
        <v>35</v>
      </c>
      <c r="C442" t="s">
        <v>34</v>
      </c>
      <c r="D442" s="2">
        <v>90000</v>
      </c>
      <c r="E442">
        <v>0</v>
      </c>
      <c r="F442" t="s">
        <v>13</v>
      </c>
      <c r="G442" t="s">
        <v>21</v>
      </c>
      <c r="H442" t="s">
        <v>18</v>
      </c>
      <c r="I442">
        <v>3</v>
      </c>
      <c r="J442" t="s">
        <v>30</v>
      </c>
      <c r="K442" t="s">
        <v>24</v>
      </c>
      <c r="L442">
        <v>34</v>
      </c>
      <c r="M442" t="str" cm="1">
        <f t="array" ref="M442">_xlfn.IFS(
L442&gt;50,"Old Age",
L442&gt;=31,"Middle Age",
L442&lt;31,"Young Age"
)</f>
        <v>Middle Age</v>
      </c>
      <c r="N442" t="s">
        <v>15</v>
      </c>
      <c r="O442" t="str" cm="1">
        <f t="array" ref="O442">_xlfn.IFS(D442&gt;120000, "High Income", D442&gt;=80000, "Average Income", D442&lt;80000, "Low Income")</f>
        <v>Average Income</v>
      </c>
      <c r="P442">
        <f>IF(Table24[[#This Row],[Purchased Bike]]="Yes",1,0)</f>
        <v>1</v>
      </c>
    </row>
    <row r="443" spans="1:16" hidden="1" x14ac:dyDescent="0.25">
      <c r="A443">
        <v>11061</v>
      </c>
      <c r="B443" t="s">
        <v>34</v>
      </c>
      <c r="C443" t="s">
        <v>34</v>
      </c>
      <c r="D443" s="2">
        <v>70000</v>
      </c>
      <c r="E443">
        <v>2</v>
      </c>
      <c r="F443" t="s">
        <v>19</v>
      </c>
      <c r="G443" t="s">
        <v>14</v>
      </c>
      <c r="H443" t="s">
        <v>15</v>
      </c>
      <c r="I443">
        <v>2</v>
      </c>
      <c r="J443" t="s">
        <v>23</v>
      </c>
      <c r="K443" t="s">
        <v>24</v>
      </c>
      <c r="L443">
        <v>52</v>
      </c>
      <c r="M443" t="str" cm="1">
        <f t="array" ref="M443">_xlfn.IFS(
L443&gt;50,"Old Age",
L443&gt;=31,"Middle Age",
L443&lt;31,"Young Age"
)</f>
        <v>Old Age</v>
      </c>
      <c r="N443" t="s">
        <v>15</v>
      </c>
      <c r="O443" t="str" cm="1">
        <f t="array" ref="O443">_xlfn.IFS(D443&gt;120000, "High Income", D443&gt;=80000, "Average Income", D443&lt;80000, "Low Income")</f>
        <v>Low Income</v>
      </c>
      <c r="P443">
        <f>IF(Table24[[#This Row],[Purchased Bike]]="Yes",1,0)</f>
        <v>1</v>
      </c>
    </row>
    <row r="444" spans="1:16" x14ac:dyDescent="0.25">
      <c r="A444">
        <v>26651</v>
      </c>
      <c r="B444" t="s">
        <v>35</v>
      </c>
      <c r="C444" t="s">
        <v>34</v>
      </c>
      <c r="D444" s="2">
        <v>80000</v>
      </c>
      <c r="E444">
        <v>4</v>
      </c>
      <c r="F444" t="s">
        <v>31</v>
      </c>
      <c r="G444" t="s">
        <v>28</v>
      </c>
      <c r="H444" t="s">
        <v>15</v>
      </c>
      <c r="I444">
        <v>0</v>
      </c>
      <c r="J444" t="s">
        <v>16</v>
      </c>
      <c r="K444" t="s">
        <v>24</v>
      </c>
      <c r="L444">
        <v>36</v>
      </c>
      <c r="M444" t="str" cm="1">
        <f t="array" ref="M444">_xlfn.IFS(
L444&gt;50,"Old Age",
L444&gt;=31,"Middle Age",
L444&lt;31,"Young Age"
)</f>
        <v>Middle Age</v>
      </c>
      <c r="N444" t="s">
        <v>15</v>
      </c>
      <c r="O444" t="str" cm="1">
        <f t="array" ref="O444">_xlfn.IFS(D444&gt;120000, "High Income", D444&gt;=80000, "Average Income", D444&lt;80000, "Low Income")</f>
        <v>Average Income</v>
      </c>
      <c r="P444">
        <f>IF(Table24[[#This Row],[Purchased Bike]]="Yes",1,0)</f>
        <v>1</v>
      </c>
    </row>
    <row r="445" spans="1:16" x14ac:dyDescent="0.25">
      <c r="A445">
        <v>21108</v>
      </c>
      <c r="B445" t="s">
        <v>34</v>
      </c>
      <c r="C445" t="s">
        <v>33</v>
      </c>
      <c r="D445" s="2">
        <v>40000</v>
      </c>
      <c r="E445">
        <v>1</v>
      </c>
      <c r="F445" t="s">
        <v>13</v>
      </c>
      <c r="G445" t="s">
        <v>14</v>
      </c>
      <c r="H445" t="s">
        <v>15</v>
      </c>
      <c r="I445">
        <v>1</v>
      </c>
      <c r="J445" t="s">
        <v>16</v>
      </c>
      <c r="K445" t="s">
        <v>17</v>
      </c>
      <c r="L445">
        <v>43</v>
      </c>
      <c r="M445" t="str" cm="1">
        <f t="array" ref="M445">_xlfn.IFS(
L445&gt;50,"Old Age",
L445&gt;=31,"Middle Age",
L445&lt;31,"Young Age"
)</f>
        <v>Middle Age</v>
      </c>
      <c r="N445" t="s">
        <v>15</v>
      </c>
      <c r="O445" t="str" cm="1">
        <f t="array" ref="O445">_xlfn.IFS(D445&gt;120000, "High Income", D445&gt;=80000, "Average Income", D445&lt;80000, "Low Income")</f>
        <v>Low Income</v>
      </c>
      <c r="P445">
        <f>IF(Table24[[#This Row],[Purchased Bike]]="Yes",1,0)</f>
        <v>1</v>
      </c>
    </row>
    <row r="446" spans="1:16" hidden="1" x14ac:dyDescent="0.25">
      <c r="A446">
        <v>12731</v>
      </c>
      <c r="B446" t="s">
        <v>35</v>
      </c>
      <c r="C446" t="s">
        <v>34</v>
      </c>
      <c r="D446" s="2">
        <v>30000</v>
      </c>
      <c r="E446">
        <v>0</v>
      </c>
      <c r="F446" t="s">
        <v>27</v>
      </c>
      <c r="G446" t="s">
        <v>25</v>
      </c>
      <c r="H446" t="s">
        <v>18</v>
      </c>
      <c r="I446">
        <v>1</v>
      </c>
      <c r="J446" t="s">
        <v>26</v>
      </c>
      <c r="K446" t="s">
        <v>17</v>
      </c>
      <c r="L446">
        <v>32</v>
      </c>
      <c r="M446" t="str" cm="1">
        <f t="array" ref="M446">_xlfn.IFS(
L446&gt;50,"Old Age",
L446&gt;=31,"Middle Age",
L446&lt;31,"Young Age"
)</f>
        <v>Middle Age</v>
      </c>
      <c r="N446" t="s">
        <v>18</v>
      </c>
      <c r="O446" t="str" cm="1">
        <f t="array" ref="O446">_xlfn.IFS(D446&gt;120000, "High Income", D446&gt;=80000, "Average Income", D446&lt;80000, "Low Income")</f>
        <v>Low Income</v>
      </c>
      <c r="P446">
        <f>IF(Table24[[#This Row],[Purchased Bike]]="Yes",1,0)</f>
        <v>0</v>
      </c>
    </row>
    <row r="447" spans="1:16" x14ac:dyDescent="0.25">
      <c r="A447">
        <v>25307</v>
      </c>
      <c r="B447" t="s">
        <v>34</v>
      </c>
      <c r="C447" t="s">
        <v>33</v>
      </c>
      <c r="D447" s="2">
        <v>40000</v>
      </c>
      <c r="E447">
        <v>1</v>
      </c>
      <c r="F447" t="s">
        <v>13</v>
      </c>
      <c r="G447" t="s">
        <v>14</v>
      </c>
      <c r="H447" t="s">
        <v>15</v>
      </c>
      <c r="I447">
        <v>1</v>
      </c>
      <c r="J447" t="s">
        <v>26</v>
      </c>
      <c r="K447" t="s">
        <v>17</v>
      </c>
      <c r="L447">
        <v>32</v>
      </c>
      <c r="M447" t="str" cm="1">
        <f t="array" ref="M447">_xlfn.IFS(
L447&gt;50,"Old Age",
L447&gt;=31,"Middle Age",
L447&lt;31,"Young Age"
)</f>
        <v>Middle Age</v>
      </c>
      <c r="N447" t="s">
        <v>15</v>
      </c>
      <c r="O447" t="str" cm="1">
        <f t="array" ref="O447">_xlfn.IFS(D447&gt;120000, "High Income", D447&gt;=80000, "Average Income", D447&lt;80000, "Low Income")</f>
        <v>Low Income</v>
      </c>
      <c r="P447">
        <f>IF(Table24[[#This Row],[Purchased Bike]]="Yes",1,0)</f>
        <v>1</v>
      </c>
    </row>
    <row r="448" spans="1:16" hidden="1" x14ac:dyDescent="0.25">
      <c r="A448">
        <v>14278</v>
      </c>
      <c r="B448" t="s">
        <v>34</v>
      </c>
      <c r="C448" t="s">
        <v>33</v>
      </c>
      <c r="D448" s="2">
        <v>130000</v>
      </c>
      <c r="E448">
        <v>0</v>
      </c>
      <c r="F448" t="s">
        <v>31</v>
      </c>
      <c r="G448" t="s">
        <v>28</v>
      </c>
      <c r="H448" t="s">
        <v>15</v>
      </c>
      <c r="I448">
        <v>1</v>
      </c>
      <c r="J448" t="s">
        <v>30</v>
      </c>
      <c r="K448" t="s">
        <v>24</v>
      </c>
      <c r="L448">
        <v>48</v>
      </c>
      <c r="M448" t="str" cm="1">
        <f t="array" ref="M448">_xlfn.IFS(
L448&gt;50,"Old Age",
L448&gt;=31,"Middle Age",
L448&lt;31,"Young Age"
)</f>
        <v>Middle Age</v>
      </c>
      <c r="N448" t="s">
        <v>18</v>
      </c>
      <c r="O448" t="str" cm="1">
        <f t="array" ref="O448">_xlfn.IFS(D448&gt;120000, "High Income", D448&gt;=80000, "Average Income", D448&lt;80000, "Low Income")</f>
        <v>High Income</v>
      </c>
      <c r="P448">
        <f>IF(Table24[[#This Row],[Purchased Bike]]="Yes",1,0)</f>
        <v>0</v>
      </c>
    </row>
    <row r="449" spans="1:16" x14ac:dyDescent="0.25">
      <c r="A449">
        <v>20711</v>
      </c>
      <c r="B449" t="s">
        <v>34</v>
      </c>
      <c r="C449" t="s">
        <v>33</v>
      </c>
      <c r="D449" s="2">
        <v>40000</v>
      </c>
      <c r="E449">
        <v>1</v>
      </c>
      <c r="F449" t="s">
        <v>13</v>
      </c>
      <c r="G449" t="s">
        <v>14</v>
      </c>
      <c r="H449" t="s">
        <v>15</v>
      </c>
      <c r="I449">
        <v>0</v>
      </c>
      <c r="J449" t="s">
        <v>26</v>
      </c>
      <c r="K449" t="s">
        <v>17</v>
      </c>
      <c r="L449">
        <v>32</v>
      </c>
      <c r="M449" t="str" cm="1">
        <f t="array" ref="M449">_xlfn.IFS(
L449&gt;50,"Old Age",
L449&gt;=31,"Middle Age",
L449&lt;31,"Young Age"
)</f>
        <v>Middle Age</v>
      </c>
      <c r="N449" t="s">
        <v>15</v>
      </c>
      <c r="O449" t="str" cm="1">
        <f t="array" ref="O449">_xlfn.IFS(D449&gt;120000, "High Income", D449&gt;=80000, "Average Income", D449&lt;80000, "Low Income")</f>
        <v>Low Income</v>
      </c>
      <c r="P449">
        <f>IF(Table24[[#This Row],[Purchased Bike]]="Yes",1,0)</f>
        <v>1</v>
      </c>
    </row>
    <row r="450" spans="1:16" hidden="1" x14ac:dyDescent="0.25">
      <c r="A450">
        <v>11383</v>
      </c>
      <c r="B450" t="s">
        <v>34</v>
      </c>
      <c r="C450" t="s">
        <v>33</v>
      </c>
      <c r="D450" s="2">
        <v>30000</v>
      </c>
      <c r="E450">
        <v>3</v>
      </c>
      <c r="F450" t="s">
        <v>31</v>
      </c>
      <c r="G450" t="s">
        <v>20</v>
      </c>
      <c r="H450" t="s">
        <v>15</v>
      </c>
      <c r="I450">
        <v>0</v>
      </c>
      <c r="J450" t="s">
        <v>16</v>
      </c>
      <c r="K450" t="s">
        <v>17</v>
      </c>
      <c r="L450">
        <v>46</v>
      </c>
      <c r="M450" t="str" cm="1">
        <f t="array" ref="M450">_xlfn.IFS(
L450&gt;50,"Old Age",
L450&gt;=31,"Middle Age",
L450&lt;31,"Young Age"
)</f>
        <v>Middle Age</v>
      </c>
      <c r="N450" t="s">
        <v>18</v>
      </c>
      <c r="O450" t="str" cm="1">
        <f t="array" ref="O450">_xlfn.IFS(D450&gt;120000, "High Income", D450&gt;=80000, "Average Income", D450&lt;80000, "Low Income")</f>
        <v>Low Income</v>
      </c>
      <c r="P450">
        <f>IF(Table24[[#This Row],[Purchased Bike]]="Yes",1,0)</f>
        <v>0</v>
      </c>
    </row>
    <row r="451" spans="1:16" hidden="1" x14ac:dyDescent="0.25">
      <c r="A451">
        <v>12497</v>
      </c>
      <c r="B451" t="s">
        <v>34</v>
      </c>
      <c r="C451" t="s">
        <v>33</v>
      </c>
      <c r="D451" s="2">
        <v>40000</v>
      </c>
      <c r="E451">
        <v>1</v>
      </c>
      <c r="F451" t="s">
        <v>13</v>
      </c>
      <c r="G451" t="s">
        <v>14</v>
      </c>
      <c r="H451" t="s">
        <v>15</v>
      </c>
      <c r="I451">
        <v>0</v>
      </c>
      <c r="J451" t="s">
        <v>16</v>
      </c>
      <c r="K451" t="s">
        <v>17</v>
      </c>
      <c r="L451">
        <v>42</v>
      </c>
      <c r="M451" t="str" cm="1">
        <f t="array" ref="M451">_xlfn.IFS(
L451&gt;50,"Old Age",
L451&gt;=31,"Middle Age",
L451&lt;31,"Young Age"
)</f>
        <v>Middle Age</v>
      </c>
      <c r="N451" t="s">
        <v>18</v>
      </c>
      <c r="O451" t="str" cm="1">
        <f t="array" ref="O451">_xlfn.IFS(D451&gt;120000, "High Income", D451&gt;=80000, "Average Income", D451&lt;80000, "Low Income")</f>
        <v>Low Income</v>
      </c>
      <c r="P451">
        <f>IF(Table24[[#This Row],[Purchased Bike]]="Yes",1,0)</f>
        <v>0</v>
      </c>
    </row>
    <row r="452" spans="1:16" x14ac:dyDescent="0.25">
      <c r="A452">
        <v>16559</v>
      </c>
      <c r="B452" t="s">
        <v>35</v>
      </c>
      <c r="C452" t="s">
        <v>33</v>
      </c>
      <c r="D452" s="2">
        <v>10000</v>
      </c>
      <c r="E452">
        <v>2</v>
      </c>
      <c r="F452" t="s">
        <v>27</v>
      </c>
      <c r="G452" t="s">
        <v>25</v>
      </c>
      <c r="H452" t="s">
        <v>15</v>
      </c>
      <c r="I452">
        <v>0</v>
      </c>
      <c r="J452" t="s">
        <v>16</v>
      </c>
      <c r="K452" t="s">
        <v>17</v>
      </c>
      <c r="L452">
        <v>36</v>
      </c>
      <c r="M452" t="str" cm="1">
        <f t="array" ref="M452">_xlfn.IFS(
L452&gt;50,"Old Age",
L452&gt;=31,"Middle Age",
L452&lt;31,"Young Age"
)</f>
        <v>Middle Age</v>
      </c>
      <c r="N452" t="s">
        <v>15</v>
      </c>
      <c r="O452" t="str" cm="1">
        <f t="array" ref="O452">_xlfn.IFS(D452&gt;120000, "High Income", D452&gt;=80000, "Average Income", D452&lt;80000, "Low Income")</f>
        <v>Low Income</v>
      </c>
      <c r="P452">
        <f>IF(Table24[[#This Row],[Purchased Bike]]="Yes",1,0)</f>
        <v>1</v>
      </c>
    </row>
    <row r="453" spans="1:16" hidden="1" x14ac:dyDescent="0.25">
      <c r="A453">
        <v>11585</v>
      </c>
      <c r="B453" t="s">
        <v>34</v>
      </c>
      <c r="C453" t="s">
        <v>33</v>
      </c>
      <c r="D453" s="2">
        <v>40000</v>
      </c>
      <c r="E453">
        <v>1</v>
      </c>
      <c r="F453" t="s">
        <v>13</v>
      </c>
      <c r="G453" t="s">
        <v>14</v>
      </c>
      <c r="H453" t="s">
        <v>15</v>
      </c>
      <c r="I453">
        <v>0</v>
      </c>
      <c r="J453" t="s">
        <v>16</v>
      </c>
      <c r="K453" t="s">
        <v>17</v>
      </c>
      <c r="L453">
        <v>41</v>
      </c>
      <c r="M453" t="str" cm="1">
        <f t="array" ref="M453">_xlfn.IFS(
L453&gt;50,"Old Age",
L453&gt;=31,"Middle Age",
L453&lt;31,"Young Age"
)</f>
        <v>Middle Age</v>
      </c>
      <c r="N453" t="s">
        <v>18</v>
      </c>
      <c r="O453" t="str" cm="1">
        <f t="array" ref="O453">_xlfn.IFS(D453&gt;120000, "High Income", D453&gt;=80000, "Average Income", D453&lt;80000, "Low Income")</f>
        <v>Low Income</v>
      </c>
      <c r="P453">
        <f>IF(Table24[[#This Row],[Purchased Bike]]="Yes",1,0)</f>
        <v>0</v>
      </c>
    </row>
    <row r="454" spans="1:16" hidden="1" x14ac:dyDescent="0.25">
      <c r="A454">
        <v>20277</v>
      </c>
      <c r="B454" t="s">
        <v>34</v>
      </c>
      <c r="C454" t="s">
        <v>33</v>
      </c>
      <c r="D454" s="2">
        <v>30000</v>
      </c>
      <c r="E454">
        <v>2</v>
      </c>
      <c r="F454" t="s">
        <v>19</v>
      </c>
      <c r="G454" t="s">
        <v>20</v>
      </c>
      <c r="H454" t="s">
        <v>18</v>
      </c>
      <c r="I454">
        <v>2</v>
      </c>
      <c r="J454" t="s">
        <v>16</v>
      </c>
      <c r="K454" t="s">
        <v>24</v>
      </c>
      <c r="L454">
        <v>69</v>
      </c>
      <c r="M454" t="str" cm="1">
        <f t="array" ref="M454">_xlfn.IFS(
L454&gt;50,"Old Age",
L454&gt;=31,"Middle Age",
L454&lt;31,"Young Age"
)</f>
        <v>Old Age</v>
      </c>
      <c r="N454" t="s">
        <v>18</v>
      </c>
      <c r="O454" t="str" cm="1">
        <f t="array" ref="O454">_xlfn.IFS(D454&gt;120000, "High Income", D454&gt;=80000, "Average Income", D454&lt;80000, "Low Income")</f>
        <v>Low Income</v>
      </c>
      <c r="P454">
        <f>IF(Table24[[#This Row],[Purchased Bike]]="Yes",1,0)</f>
        <v>0</v>
      </c>
    </row>
    <row r="455" spans="1:16" hidden="1" x14ac:dyDescent="0.25">
      <c r="A455">
        <v>26765</v>
      </c>
      <c r="B455" t="s">
        <v>35</v>
      </c>
      <c r="C455" t="s">
        <v>33</v>
      </c>
      <c r="D455" s="2">
        <v>70000</v>
      </c>
      <c r="E455">
        <v>5</v>
      </c>
      <c r="F455" t="s">
        <v>19</v>
      </c>
      <c r="G455" t="s">
        <v>14</v>
      </c>
      <c r="H455" t="s">
        <v>15</v>
      </c>
      <c r="I455">
        <v>2</v>
      </c>
      <c r="J455" t="s">
        <v>23</v>
      </c>
      <c r="K455" t="s">
        <v>24</v>
      </c>
      <c r="L455">
        <v>45</v>
      </c>
      <c r="M455" t="str" cm="1">
        <f t="array" ref="M455">_xlfn.IFS(
L455&gt;50,"Old Age",
L455&gt;=31,"Middle Age",
L455&lt;31,"Young Age"
)</f>
        <v>Middle Age</v>
      </c>
      <c r="N455" t="s">
        <v>18</v>
      </c>
      <c r="O455" t="str" cm="1">
        <f t="array" ref="O455">_xlfn.IFS(D455&gt;120000, "High Income", D455&gt;=80000, "Average Income", D455&lt;80000, "Low Income")</f>
        <v>Low Income</v>
      </c>
      <c r="P455">
        <f>IF(Table24[[#This Row],[Purchased Bike]]="Yes",1,0)</f>
        <v>0</v>
      </c>
    </row>
    <row r="456" spans="1:16" hidden="1" x14ac:dyDescent="0.25">
      <c r="A456">
        <v>12389</v>
      </c>
      <c r="B456" t="s">
        <v>35</v>
      </c>
      <c r="C456" t="s">
        <v>34</v>
      </c>
      <c r="D456" s="2">
        <v>30000</v>
      </c>
      <c r="E456">
        <v>0</v>
      </c>
      <c r="F456" t="s">
        <v>27</v>
      </c>
      <c r="G456" t="s">
        <v>25</v>
      </c>
      <c r="H456" t="s">
        <v>18</v>
      </c>
      <c r="I456">
        <v>1</v>
      </c>
      <c r="J456" t="s">
        <v>22</v>
      </c>
      <c r="K456" t="s">
        <v>17</v>
      </c>
      <c r="L456">
        <v>34</v>
      </c>
      <c r="M456" t="str" cm="1">
        <f t="array" ref="M456">_xlfn.IFS(
L456&gt;50,"Old Age",
L456&gt;=31,"Middle Age",
L456&lt;31,"Young Age"
)</f>
        <v>Middle Age</v>
      </c>
      <c r="N456" t="s">
        <v>18</v>
      </c>
      <c r="O456" t="str" cm="1">
        <f t="array" ref="O456">_xlfn.IFS(D456&gt;120000, "High Income", D456&gt;=80000, "Average Income", D456&lt;80000, "Low Income")</f>
        <v>Low Income</v>
      </c>
      <c r="P456">
        <f>IF(Table24[[#This Row],[Purchased Bike]]="Yes",1,0)</f>
        <v>0</v>
      </c>
    </row>
    <row r="457" spans="1:16" hidden="1" x14ac:dyDescent="0.25">
      <c r="A457">
        <v>13585</v>
      </c>
      <c r="B457" t="s">
        <v>34</v>
      </c>
      <c r="C457" t="s">
        <v>33</v>
      </c>
      <c r="D457" s="2">
        <v>80000</v>
      </c>
      <c r="E457">
        <v>4</v>
      </c>
      <c r="F457" t="s">
        <v>19</v>
      </c>
      <c r="G457" t="s">
        <v>21</v>
      </c>
      <c r="H457" t="s">
        <v>18</v>
      </c>
      <c r="I457">
        <v>1</v>
      </c>
      <c r="J457" t="s">
        <v>22</v>
      </c>
      <c r="K457" t="s">
        <v>17</v>
      </c>
      <c r="L457">
        <v>53</v>
      </c>
      <c r="M457" t="str" cm="1">
        <f t="array" ref="M457">_xlfn.IFS(
L457&gt;50,"Old Age",
L457&gt;=31,"Middle Age",
L457&lt;31,"Young Age"
)</f>
        <v>Old Age</v>
      </c>
      <c r="N457" t="s">
        <v>15</v>
      </c>
      <c r="O457" t="str" cm="1">
        <f t="array" ref="O457">_xlfn.IFS(D457&gt;120000, "High Income", D457&gt;=80000, "Average Income", D457&lt;80000, "Low Income")</f>
        <v>Average Income</v>
      </c>
      <c r="P457">
        <f>IF(Table24[[#This Row],[Purchased Bike]]="Yes",1,0)</f>
        <v>1</v>
      </c>
    </row>
    <row r="458" spans="1:16" hidden="1" x14ac:dyDescent="0.25">
      <c r="A458">
        <v>26385</v>
      </c>
      <c r="B458" t="s">
        <v>35</v>
      </c>
      <c r="C458" t="s">
        <v>34</v>
      </c>
      <c r="D458" s="2">
        <v>120000</v>
      </c>
      <c r="E458">
        <v>3</v>
      </c>
      <c r="F458" t="s">
        <v>27</v>
      </c>
      <c r="G458" t="s">
        <v>21</v>
      </c>
      <c r="H458" t="s">
        <v>18</v>
      </c>
      <c r="I458">
        <v>4</v>
      </c>
      <c r="J458" t="s">
        <v>23</v>
      </c>
      <c r="K458" t="s">
        <v>17</v>
      </c>
      <c r="L458">
        <v>50</v>
      </c>
      <c r="M458" t="str" cm="1">
        <f t="array" ref="M458">_xlfn.IFS(
L458&gt;50,"Old Age",
L458&gt;=31,"Middle Age",
L458&lt;31,"Young Age"
)</f>
        <v>Middle Age</v>
      </c>
      <c r="N458" t="s">
        <v>18</v>
      </c>
      <c r="O458" t="str" cm="1">
        <f t="array" ref="O458">_xlfn.IFS(D458&gt;120000, "High Income", D458&gt;=80000, "Average Income", D458&lt;80000, "Low Income")</f>
        <v>Average Income</v>
      </c>
      <c r="P458">
        <f>IF(Table24[[#This Row],[Purchased Bike]]="Yes",1,0)</f>
        <v>0</v>
      </c>
    </row>
    <row r="459" spans="1:16" hidden="1" x14ac:dyDescent="0.25">
      <c r="A459">
        <v>12236</v>
      </c>
      <c r="B459" t="s">
        <v>34</v>
      </c>
      <c r="C459" t="s">
        <v>33</v>
      </c>
      <c r="D459" s="2">
        <v>20000</v>
      </c>
      <c r="E459">
        <v>1</v>
      </c>
      <c r="F459" t="s">
        <v>19</v>
      </c>
      <c r="G459" t="s">
        <v>25</v>
      </c>
      <c r="H459" t="s">
        <v>15</v>
      </c>
      <c r="I459">
        <v>0</v>
      </c>
      <c r="J459" t="s">
        <v>16</v>
      </c>
      <c r="K459" t="s">
        <v>17</v>
      </c>
      <c r="L459">
        <v>65</v>
      </c>
      <c r="M459" t="str" cm="1">
        <f t="array" ref="M459">_xlfn.IFS(
L459&gt;50,"Old Age",
L459&gt;=31,"Middle Age",
L459&lt;31,"Young Age"
)</f>
        <v>Old Age</v>
      </c>
      <c r="N459" t="s">
        <v>18</v>
      </c>
      <c r="O459" t="str" cm="1">
        <f t="array" ref="O459">_xlfn.IFS(D459&gt;120000, "High Income", D459&gt;=80000, "Average Income", D459&lt;80000, "Low Income")</f>
        <v>Low Income</v>
      </c>
      <c r="P459">
        <f>IF(Table24[[#This Row],[Purchased Bike]]="Yes",1,0)</f>
        <v>0</v>
      </c>
    </row>
    <row r="460" spans="1:16" x14ac:dyDescent="0.25">
      <c r="A460">
        <v>21560</v>
      </c>
      <c r="B460" t="s">
        <v>34</v>
      </c>
      <c r="C460" t="s">
        <v>34</v>
      </c>
      <c r="D460" s="2">
        <v>120000</v>
      </c>
      <c r="E460">
        <v>0</v>
      </c>
      <c r="F460" t="s">
        <v>29</v>
      </c>
      <c r="G460" t="s">
        <v>21</v>
      </c>
      <c r="H460" t="s">
        <v>15</v>
      </c>
      <c r="I460">
        <v>4</v>
      </c>
      <c r="J460" t="s">
        <v>30</v>
      </c>
      <c r="K460" t="s">
        <v>24</v>
      </c>
      <c r="L460">
        <v>32</v>
      </c>
      <c r="M460" t="str" cm="1">
        <f t="array" ref="M460">_xlfn.IFS(
L460&gt;50,"Old Age",
L460&gt;=31,"Middle Age",
L460&lt;31,"Young Age"
)</f>
        <v>Middle Age</v>
      </c>
      <c r="N460" t="s">
        <v>15</v>
      </c>
      <c r="O460" t="str" cm="1">
        <f t="array" ref="O460">_xlfn.IFS(D460&gt;120000, "High Income", D460&gt;=80000, "Average Income", D460&lt;80000, "Low Income")</f>
        <v>Average Income</v>
      </c>
      <c r="P460">
        <f>IF(Table24[[#This Row],[Purchased Bike]]="Yes",1,0)</f>
        <v>1</v>
      </c>
    </row>
    <row r="461" spans="1:16" hidden="1" x14ac:dyDescent="0.25">
      <c r="A461">
        <v>21554</v>
      </c>
      <c r="B461" t="s">
        <v>35</v>
      </c>
      <c r="C461" t="s">
        <v>33</v>
      </c>
      <c r="D461" s="2">
        <v>80000</v>
      </c>
      <c r="E461">
        <v>0</v>
      </c>
      <c r="F461" t="s">
        <v>13</v>
      </c>
      <c r="G461" t="s">
        <v>21</v>
      </c>
      <c r="H461" t="s">
        <v>18</v>
      </c>
      <c r="I461">
        <v>3</v>
      </c>
      <c r="J461" t="s">
        <v>30</v>
      </c>
      <c r="K461" t="s">
        <v>24</v>
      </c>
      <c r="L461">
        <v>33</v>
      </c>
      <c r="M461" t="str" cm="1">
        <f t="array" ref="M461">_xlfn.IFS(
L461&gt;50,"Old Age",
L461&gt;=31,"Middle Age",
L461&lt;31,"Young Age"
)</f>
        <v>Middle Age</v>
      </c>
      <c r="N461" t="s">
        <v>18</v>
      </c>
      <c r="O461" t="str" cm="1">
        <f t="array" ref="O461">_xlfn.IFS(D461&gt;120000, "High Income", D461&gt;=80000, "Average Income", D461&lt;80000, "Low Income")</f>
        <v>Average Income</v>
      </c>
      <c r="P461">
        <f>IF(Table24[[#This Row],[Purchased Bike]]="Yes",1,0)</f>
        <v>0</v>
      </c>
    </row>
    <row r="462" spans="1:16" x14ac:dyDescent="0.25">
      <c r="A462">
        <v>13662</v>
      </c>
      <c r="B462" t="s">
        <v>35</v>
      </c>
      <c r="C462" t="s">
        <v>34</v>
      </c>
      <c r="D462" s="2">
        <v>20000</v>
      </c>
      <c r="E462">
        <v>0</v>
      </c>
      <c r="F462" t="s">
        <v>29</v>
      </c>
      <c r="G462" t="s">
        <v>25</v>
      </c>
      <c r="H462" t="s">
        <v>15</v>
      </c>
      <c r="I462">
        <v>2</v>
      </c>
      <c r="J462" t="s">
        <v>26</v>
      </c>
      <c r="K462" t="s">
        <v>17</v>
      </c>
      <c r="L462">
        <v>31</v>
      </c>
      <c r="M462" t="str" cm="1">
        <f t="array" ref="M462">_xlfn.IFS(
L462&gt;50,"Old Age",
L462&gt;=31,"Middle Age",
L462&lt;31,"Young Age"
)</f>
        <v>Middle Age</v>
      </c>
      <c r="N462" t="s">
        <v>15</v>
      </c>
      <c r="O462" t="str" cm="1">
        <f t="array" ref="O462">_xlfn.IFS(D462&gt;120000, "High Income", D462&gt;=80000, "Average Income", D462&lt;80000, "Low Income")</f>
        <v>Low Income</v>
      </c>
      <c r="P462">
        <f>IF(Table24[[#This Row],[Purchased Bike]]="Yes",1,0)</f>
        <v>1</v>
      </c>
    </row>
    <row r="463" spans="1:16" x14ac:dyDescent="0.25">
      <c r="A463">
        <v>13089</v>
      </c>
      <c r="B463" t="s">
        <v>34</v>
      </c>
      <c r="C463" t="s">
        <v>33</v>
      </c>
      <c r="D463" s="2">
        <v>120000</v>
      </c>
      <c r="E463">
        <v>1</v>
      </c>
      <c r="F463" t="s">
        <v>13</v>
      </c>
      <c r="G463" t="s">
        <v>28</v>
      </c>
      <c r="H463" t="s">
        <v>15</v>
      </c>
      <c r="I463">
        <v>2</v>
      </c>
      <c r="J463" t="s">
        <v>16</v>
      </c>
      <c r="K463" t="s">
        <v>24</v>
      </c>
      <c r="L463">
        <v>46</v>
      </c>
      <c r="M463" t="str" cm="1">
        <f t="array" ref="M463">_xlfn.IFS(
L463&gt;50,"Old Age",
L463&gt;=31,"Middle Age",
L463&lt;31,"Young Age"
)</f>
        <v>Middle Age</v>
      </c>
      <c r="N463" t="s">
        <v>15</v>
      </c>
      <c r="O463" t="str" cm="1">
        <f t="array" ref="O463">_xlfn.IFS(D463&gt;120000, "High Income", D463&gt;=80000, "Average Income", D463&lt;80000, "Low Income")</f>
        <v>Average Income</v>
      </c>
      <c r="P463">
        <f>IF(Table24[[#This Row],[Purchased Bike]]="Yes",1,0)</f>
        <v>1</v>
      </c>
    </row>
    <row r="464" spans="1:16" x14ac:dyDescent="0.25">
      <c r="A464">
        <v>14791</v>
      </c>
      <c r="B464" t="s">
        <v>34</v>
      </c>
      <c r="C464" t="s">
        <v>33</v>
      </c>
      <c r="D464" s="2">
        <v>40000</v>
      </c>
      <c r="E464">
        <v>0</v>
      </c>
      <c r="F464" t="s">
        <v>13</v>
      </c>
      <c r="G464" t="s">
        <v>20</v>
      </c>
      <c r="H464" t="s">
        <v>15</v>
      </c>
      <c r="I464">
        <v>0</v>
      </c>
      <c r="J464" t="s">
        <v>16</v>
      </c>
      <c r="K464" t="s">
        <v>17</v>
      </c>
      <c r="L464">
        <v>39</v>
      </c>
      <c r="M464" t="str" cm="1">
        <f t="array" ref="M464">_xlfn.IFS(
L464&gt;50,"Old Age",
L464&gt;=31,"Middle Age",
L464&lt;31,"Young Age"
)</f>
        <v>Middle Age</v>
      </c>
      <c r="N464" t="s">
        <v>15</v>
      </c>
      <c r="O464" t="str" cm="1">
        <f t="array" ref="O464">_xlfn.IFS(D464&gt;120000, "High Income", D464&gt;=80000, "Average Income", D464&lt;80000, "Low Income")</f>
        <v>Low Income</v>
      </c>
      <c r="P464">
        <f>IF(Table24[[#This Row],[Purchased Bike]]="Yes",1,0)</f>
        <v>1</v>
      </c>
    </row>
    <row r="465" spans="1:16" hidden="1" x14ac:dyDescent="0.25">
      <c r="A465">
        <v>19331</v>
      </c>
      <c r="B465" t="s">
        <v>35</v>
      </c>
      <c r="C465" t="s">
        <v>34</v>
      </c>
      <c r="D465" s="2">
        <v>20000</v>
      </c>
      <c r="E465">
        <v>2</v>
      </c>
      <c r="F465" t="s">
        <v>27</v>
      </c>
      <c r="G465" t="s">
        <v>25</v>
      </c>
      <c r="H465" t="s">
        <v>15</v>
      </c>
      <c r="I465">
        <v>1</v>
      </c>
      <c r="J465" t="s">
        <v>16</v>
      </c>
      <c r="K465" t="s">
        <v>17</v>
      </c>
      <c r="L465">
        <v>40</v>
      </c>
      <c r="M465" t="str" cm="1">
        <f t="array" ref="M465">_xlfn.IFS(
L465&gt;50,"Old Age",
L465&gt;=31,"Middle Age",
L465&lt;31,"Young Age"
)</f>
        <v>Middle Age</v>
      </c>
      <c r="N465" t="s">
        <v>18</v>
      </c>
      <c r="O465" t="str" cm="1">
        <f t="array" ref="O465">_xlfn.IFS(D465&gt;120000, "High Income", D465&gt;=80000, "Average Income", D465&lt;80000, "Low Income")</f>
        <v>Low Income</v>
      </c>
      <c r="P465">
        <f>IF(Table24[[#This Row],[Purchased Bike]]="Yes",1,0)</f>
        <v>0</v>
      </c>
    </row>
    <row r="466" spans="1:16" x14ac:dyDescent="0.25">
      <c r="A466">
        <v>17754</v>
      </c>
      <c r="B466" t="s">
        <v>35</v>
      </c>
      <c r="C466" t="s">
        <v>33</v>
      </c>
      <c r="D466" s="2">
        <v>30000</v>
      </c>
      <c r="E466">
        <v>3</v>
      </c>
      <c r="F466" t="s">
        <v>13</v>
      </c>
      <c r="G466" t="s">
        <v>20</v>
      </c>
      <c r="H466" t="s">
        <v>15</v>
      </c>
      <c r="I466">
        <v>0</v>
      </c>
      <c r="J466" t="s">
        <v>16</v>
      </c>
      <c r="K466" t="s">
        <v>17</v>
      </c>
      <c r="L466">
        <v>46</v>
      </c>
      <c r="M466" t="str" cm="1">
        <f t="array" ref="M466">_xlfn.IFS(
L466&gt;50,"Old Age",
L466&gt;=31,"Middle Age",
L466&lt;31,"Young Age"
)</f>
        <v>Middle Age</v>
      </c>
      <c r="N466" t="s">
        <v>15</v>
      </c>
      <c r="O466" t="str" cm="1">
        <f t="array" ref="O466">_xlfn.IFS(D466&gt;120000, "High Income", D466&gt;=80000, "Average Income", D466&lt;80000, "Low Income")</f>
        <v>Low Income</v>
      </c>
      <c r="P466">
        <f>IF(Table24[[#This Row],[Purchased Bike]]="Yes",1,0)</f>
        <v>1</v>
      </c>
    </row>
    <row r="467" spans="1:16" hidden="1" x14ac:dyDescent="0.25">
      <c r="A467">
        <v>11149</v>
      </c>
      <c r="B467" t="s">
        <v>34</v>
      </c>
      <c r="C467" t="s">
        <v>34</v>
      </c>
      <c r="D467" s="2">
        <v>40000</v>
      </c>
      <c r="E467">
        <v>2</v>
      </c>
      <c r="F467" t="s">
        <v>13</v>
      </c>
      <c r="G467" t="s">
        <v>28</v>
      </c>
      <c r="H467" t="s">
        <v>15</v>
      </c>
      <c r="I467">
        <v>2</v>
      </c>
      <c r="J467" t="s">
        <v>16</v>
      </c>
      <c r="K467" t="s">
        <v>24</v>
      </c>
      <c r="L467">
        <v>65</v>
      </c>
      <c r="M467" t="str" cm="1">
        <f t="array" ref="M467">_xlfn.IFS(
L467&gt;50,"Old Age",
L467&gt;=31,"Middle Age",
L467&lt;31,"Young Age"
)</f>
        <v>Old Age</v>
      </c>
      <c r="N467" t="s">
        <v>18</v>
      </c>
      <c r="O467" t="str" cm="1">
        <f t="array" ref="O467">_xlfn.IFS(D467&gt;120000, "High Income", D467&gt;=80000, "Average Income", D467&lt;80000, "Low Income")</f>
        <v>Low Income</v>
      </c>
      <c r="P467">
        <f>IF(Table24[[#This Row],[Purchased Bike]]="Yes",1,0)</f>
        <v>0</v>
      </c>
    </row>
    <row r="468" spans="1:16" x14ac:dyDescent="0.25">
      <c r="A468">
        <v>16549</v>
      </c>
      <c r="B468" t="s">
        <v>35</v>
      </c>
      <c r="C468" t="s">
        <v>33</v>
      </c>
      <c r="D468" s="2">
        <v>30000</v>
      </c>
      <c r="E468">
        <v>3</v>
      </c>
      <c r="F468" t="s">
        <v>13</v>
      </c>
      <c r="G468" t="s">
        <v>20</v>
      </c>
      <c r="H468" t="s">
        <v>15</v>
      </c>
      <c r="I468">
        <v>0</v>
      </c>
      <c r="J468" t="s">
        <v>16</v>
      </c>
      <c r="K468" t="s">
        <v>17</v>
      </c>
      <c r="L468">
        <v>47</v>
      </c>
      <c r="M468" t="str" cm="1">
        <f t="array" ref="M468">_xlfn.IFS(
L468&gt;50,"Old Age",
L468&gt;=31,"Middle Age",
L468&lt;31,"Young Age"
)</f>
        <v>Middle Age</v>
      </c>
      <c r="N468" t="s">
        <v>15</v>
      </c>
      <c r="O468" t="str" cm="1">
        <f t="array" ref="O468">_xlfn.IFS(D468&gt;120000, "High Income", D468&gt;=80000, "Average Income", D468&lt;80000, "Low Income")</f>
        <v>Low Income</v>
      </c>
      <c r="P468">
        <f>IF(Table24[[#This Row],[Purchased Bike]]="Yes",1,0)</f>
        <v>1</v>
      </c>
    </row>
    <row r="469" spans="1:16" x14ac:dyDescent="0.25">
      <c r="A469">
        <v>24305</v>
      </c>
      <c r="B469" t="s">
        <v>35</v>
      </c>
      <c r="C469" t="s">
        <v>34</v>
      </c>
      <c r="D469" s="2">
        <v>100000</v>
      </c>
      <c r="E469">
        <v>1</v>
      </c>
      <c r="F469" t="s">
        <v>13</v>
      </c>
      <c r="G469" t="s">
        <v>28</v>
      </c>
      <c r="H469" t="s">
        <v>18</v>
      </c>
      <c r="I469">
        <v>3</v>
      </c>
      <c r="J469" t="s">
        <v>16</v>
      </c>
      <c r="K469" t="s">
        <v>24</v>
      </c>
      <c r="L469">
        <v>46</v>
      </c>
      <c r="M469" t="str" cm="1">
        <f t="array" ref="M469">_xlfn.IFS(
L469&gt;50,"Old Age",
L469&gt;=31,"Middle Age",
L469&lt;31,"Young Age"
)</f>
        <v>Middle Age</v>
      </c>
      <c r="N469" t="s">
        <v>15</v>
      </c>
      <c r="O469" t="str" cm="1">
        <f t="array" ref="O469">_xlfn.IFS(D469&gt;120000, "High Income", D469&gt;=80000, "Average Income", D469&lt;80000, "Low Income")</f>
        <v>Average Income</v>
      </c>
      <c r="P469">
        <f>IF(Table24[[#This Row],[Purchased Bike]]="Yes",1,0)</f>
        <v>1</v>
      </c>
    </row>
    <row r="470" spans="1:16" hidden="1" x14ac:dyDescent="0.25">
      <c r="A470">
        <v>18253</v>
      </c>
      <c r="B470" t="s">
        <v>34</v>
      </c>
      <c r="C470" t="s">
        <v>33</v>
      </c>
      <c r="D470" s="2">
        <v>80000</v>
      </c>
      <c r="E470">
        <v>5</v>
      </c>
      <c r="F470" t="s">
        <v>31</v>
      </c>
      <c r="G470" t="s">
        <v>28</v>
      </c>
      <c r="H470" t="s">
        <v>15</v>
      </c>
      <c r="I470">
        <v>3</v>
      </c>
      <c r="J470" t="s">
        <v>16</v>
      </c>
      <c r="K470" t="s">
        <v>24</v>
      </c>
      <c r="L470">
        <v>40</v>
      </c>
      <c r="M470" t="str" cm="1">
        <f t="array" ref="M470">_xlfn.IFS(
L470&gt;50,"Old Age",
L470&gt;=31,"Middle Age",
L470&lt;31,"Young Age"
)</f>
        <v>Middle Age</v>
      </c>
      <c r="N470" t="s">
        <v>18</v>
      </c>
      <c r="O470" t="str" cm="1">
        <f t="array" ref="O470">_xlfn.IFS(D470&gt;120000, "High Income", D470&gt;=80000, "Average Income", D470&lt;80000, "Low Income")</f>
        <v>Average Income</v>
      </c>
      <c r="P470">
        <f>IF(Table24[[#This Row],[Purchased Bike]]="Yes",1,0)</f>
        <v>0</v>
      </c>
    </row>
    <row r="471" spans="1:16" hidden="1" x14ac:dyDescent="0.25">
      <c r="A471">
        <v>20147</v>
      </c>
      <c r="B471" t="s">
        <v>34</v>
      </c>
      <c r="C471" t="s">
        <v>33</v>
      </c>
      <c r="D471" s="2">
        <v>30000</v>
      </c>
      <c r="E471">
        <v>1</v>
      </c>
      <c r="F471" t="s">
        <v>13</v>
      </c>
      <c r="G471" t="s">
        <v>20</v>
      </c>
      <c r="H471" t="s">
        <v>15</v>
      </c>
      <c r="I471">
        <v>0</v>
      </c>
      <c r="J471" t="s">
        <v>16</v>
      </c>
      <c r="K471" t="s">
        <v>17</v>
      </c>
      <c r="L471">
        <v>65</v>
      </c>
      <c r="M471" t="str" cm="1">
        <f t="array" ref="M471">_xlfn.IFS(
L471&gt;50,"Old Age",
L471&gt;=31,"Middle Age",
L471&lt;31,"Young Age"
)</f>
        <v>Old Age</v>
      </c>
      <c r="N471" t="s">
        <v>18</v>
      </c>
      <c r="O471" t="str" cm="1">
        <f t="array" ref="O471">_xlfn.IFS(D471&gt;120000, "High Income", D471&gt;=80000, "Average Income", D471&lt;80000, "Low Income")</f>
        <v>Low Income</v>
      </c>
      <c r="P471">
        <f>IF(Table24[[#This Row],[Purchased Bike]]="Yes",1,0)</f>
        <v>0</v>
      </c>
    </row>
    <row r="472" spans="1:16" hidden="1" x14ac:dyDescent="0.25">
      <c r="A472">
        <v>15612</v>
      </c>
      <c r="B472" t="s">
        <v>35</v>
      </c>
      <c r="C472" t="s">
        <v>34</v>
      </c>
      <c r="D472" s="2">
        <v>30000</v>
      </c>
      <c r="E472">
        <v>0</v>
      </c>
      <c r="F472" t="s">
        <v>27</v>
      </c>
      <c r="G472" t="s">
        <v>25</v>
      </c>
      <c r="H472" t="s">
        <v>18</v>
      </c>
      <c r="I472">
        <v>1</v>
      </c>
      <c r="J472" t="s">
        <v>26</v>
      </c>
      <c r="K472" t="s">
        <v>17</v>
      </c>
      <c r="L472">
        <v>28</v>
      </c>
      <c r="M472" t="str" cm="1">
        <f t="array" ref="M472">_xlfn.IFS(
L472&gt;50,"Old Age",
L472&gt;=31,"Middle Age",
L472&lt;31,"Young Age"
)</f>
        <v>Young Age</v>
      </c>
      <c r="N472" t="s">
        <v>18</v>
      </c>
      <c r="O472" t="str" cm="1">
        <f t="array" ref="O472">_xlfn.IFS(D472&gt;120000, "High Income", D472&gt;=80000, "Average Income", D472&lt;80000, "Low Income")</f>
        <v>Low Income</v>
      </c>
      <c r="P472">
        <f>IF(Table24[[#This Row],[Purchased Bike]]="Yes",1,0)</f>
        <v>0</v>
      </c>
    </row>
    <row r="473" spans="1:16" x14ac:dyDescent="0.25">
      <c r="A473">
        <v>28323</v>
      </c>
      <c r="B473" t="s">
        <v>35</v>
      </c>
      <c r="C473" t="s">
        <v>34</v>
      </c>
      <c r="D473" s="2">
        <v>70000</v>
      </c>
      <c r="E473">
        <v>0</v>
      </c>
      <c r="F473" t="s">
        <v>13</v>
      </c>
      <c r="G473" t="s">
        <v>21</v>
      </c>
      <c r="H473" t="s">
        <v>18</v>
      </c>
      <c r="I473">
        <v>2</v>
      </c>
      <c r="J473" t="s">
        <v>23</v>
      </c>
      <c r="K473" t="s">
        <v>24</v>
      </c>
      <c r="L473">
        <v>43</v>
      </c>
      <c r="M473" t="str" cm="1">
        <f t="array" ref="M473">_xlfn.IFS(
L473&gt;50,"Old Age",
L473&gt;=31,"Middle Age",
L473&lt;31,"Young Age"
)</f>
        <v>Middle Age</v>
      </c>
      <c r="N473" t="s">
        <v>15</v>
      </c>
      <c r="O473" t="str" cm="1">
        <f t="array" ref="O473">_xlfn.IFS(D473&gt;120000, "High Income", D473&gt;=80000, "Average Income", D473&lt;80000, "Low Income")</f>
        <v>Low Income</v>
      </c>
      <c r="P473">
        <f>IF(Table24[[#This Row],[Purchased Bike]]="Yes",1,0)</f>
        <v>1</v>
      </c>
    </row>
    <row r="474" spans="1:16" x14ac:dyDescent="0.25">
      <c r="A474">
        <v>22634</v>
      </c>
      <c r="B474" t="s">
        <v>35</v>
      </c>
      <c r="C474" t="s">
        <v>33</v>
      </c>
      <c r="D474" s="2">
        <v>40000</v>
      </c>
      <c r="E474">
        <v>0</v>
      </c>
      <c r="F474" t="s">
        <v>31</v>
      </c>
      <c r="G474" t="s">
        <v>20</v>
      </c>
      <c r="H474" t="s">
        <v>15</v>
      </c>
      <c r="I474">
        <v>0</v>
      </c>
      <c r="J474" t="s">
        <v>16</v>
      </c>
      <c r="K474" t="s">
        <v>17</v>
      </c>
      <c r="L474">
        <v>38</v>
      </c>
      <c r="M474" t="str" cm="1">
        <f t="array" ref="M474">_xlfn.IFS(
L474&gt;50,"Old Age",
L474&gt;=31,"Middle Age",
L474&lt;31,"Young Age"
)</f>
        <v>Middle Age</v>
      </c>
      <c r="N474" t="s">
        <v>15</v>
      </c>
      <c r="O474" t="str" cm="1">
        <f t="array" ref="O474">_xlfn.IFS(D474&gt;120000, "High Income", D474&gt;=80000, "Average Income", D474&lt;80000, "Low Income")</f>
        <v>Low Income</v>
      </c>
      <c r="P474">
        <f>IF(Table24[[#This Row],[Purchased Bike]]="Yes",1,0)</f>
        <v>1</v>
      </c>
    </row>
    <row r="475" spans="1:16" x14ac:dyDescent="0.25">
      <c r="A475">
        <v>15665</v>
      </c>
      <c r="B475" t="s">
        <v>34</v>
      </c>
      <c r="C475" t="s">
        <v>33</v>
      </c>
      <c r="D475" s="2">
        <v>30000</v>
      </c>
      <c r="E475">
        <v>0</v>
      </c>
      <c r="F475" t="s">
        <v>13</v>
      </c>
      <c r="G475" t="s">
        <v>20</v>
      </c>
      <c r="H475" t="s">
        <v>15</v>
      </c>
      <c r="I475">
        <v>0</v>
      </c>
      <c r="J475" t="s">
        <v>16</v>
      </c>
      <c r="K475" t="s">
        <v>17</v>
      </c>
      <c r="L475">
        <v>47</v>
      </c>
      <c r="M475" t="str" cm="1">
        <f t="array" ref="M475">_xlfn.IFS(
L475&gt;50,"Old Age",
L475&gt;=31,"Middle Age",
L475&lt;31,"Young Age"
)</f>
        <v>Middle Age</v>
      </c>
      <c r="N475" t="s">
        <v>15</v>
      </c>
      <c r="O475" t="str" cm="1">
        <f t="array" ref="O475">_xlfn.IFS(D475&gt;120000, "High Income", D475&gt;=80000, "Average Income", D475&lt;80000, "Low Income")</f>
        <v>Low Income</v>
      </c>
      <c r="P475">
        <f>IF(Table24[[#This Row],[Purchased Bike]]="Yes",1,0)</f>
        <v>1</v>
      </c>
    </row>
    <row r="476" spans="1:16" x14ac:dyDescent="0.25">
      <c r="A476">
        <v>27585</v>
      </c>
      <c r="B476" t="s">
        <v>34</v>
      </c>
      <c r="C476" t="s">
        <v>33</v>
      </c>
      <c r="D476" s="2">
        <v>90000</v>
      </c>
      <c r="E476">
        <v>2</v>
      </c>
      <c r="F476" t="s">
        <v>13</v>
      </c>
      <c r="G476" t="s">
        <v>21</v>
      </c>
      <c r="H476" t="s">
        <v>18</v>
      </c>
      <c r="I476">
        <v>0</v>
      </c>
      <c r="J476" t="s">
        <v>16</v>
      </c>
      <c r="K476" t="s">
        <v>24</v>
      </c>
      <c r="L476">
        <v>36</v>
      </c>
      <c r="M476" t="str" cm="1">
        <f t="array" ref="M476">_xlfn.IFS(
L476&gt;50,"Old Age",
L476&gt;=31,"Middle Age",
L476&lt;31,"Young Age"
)</f>
        <v>Middle Age</v>
      </c>
      <c r="N476" t="s">
        <v>15</v>
      </c>
      <c r="O476" t="str" cm="1">
        <f t="array" ref="O476">_xlfn.IFS(D476&gt;120000, "High Income", D476&gt;=80000, "Average Income", D476&lt;80000, "Low Income")</f>
        <v>Average Income</v>
      </c>
      <c r="P476">
        <f>IF(Table24[[#This Row],[Purchased Bike]]="Yes",1,0)</f>
        <v>1</v>
      </c>
    </row>
    <row r="477" spans="1:16" hidden="1" x14ac:dyDescent="0.25">
      <c r="A477">
        <v>19748</v>
      </c>
      <c r="B477" t="s">
        <v>34</v>
      </c>
      <c r="C477" t="s">
        <v>34</v>
      </c>
      <c r="D477" s="2">
        <v>20000</v>
      </c>
      <c r="E477">
        <v>4</v>
      </c>
      <c r="F477" t="s">
        <v>27</v>
      </c>
      <c r="G477" t="s">
        <v>14</v>
      </c>
      <c r="H477" t="s">
        <v>18</v>
      </c>
      <c r="I477">
        <v>2</v>
      </c>
      <c r="J477" t="s">
        <v>26</v>
      </c>
      <c r="K477" t="s">
        <v>24</v>
      </c>
      <c r="L477">
        <v>60</v>
      </c>
      <c r="M477" t="str" cm="1">
        <f t="array" ref="M477">_xlfn.IFS(
L477&gt;50,"Old Age",
L477&gt;=31,"Middle Age",
L477&lt;31,"Young Age"
)</f>
        <v>Old Age</v>
      </c>
      <c r="N477" t="s">
        <v>18</v>
      </c>
      <c r="O477" t="str" cm="1">
        <f t="array" ref="O477">_xlfn.IFS(D477&gt;120000, "High Income", D477&gt;=80000, "Average Income", D477&lt;80000, "Low Income")</f>
        <v>Low Income</v>
      </c>
      <c r="P477">
        <f>IF(Table24[[#This Row],[Purchased Bike]]="Yes",1,0)</f>
        <v>0</v>
      </c>
    </row>
    <row r="478" spans="1:16" x14ac:dyDescent="0.25">
      <c r="A478">
        <v>21974</v>
      </c>
      <c r="B478" t="s">
        <v>35</v>
      </c>
      <c r="C478" t="s">
        <v>33</v>
      </c>
      <c r="D478" s="2">
        <v>70000</v>
      </c>
      <c r="E478">
        <v>0</v>
      </c>
      <c r="F478" t="s">
        <v>13</v>
      </c>
      <c r="G478" t="s">
        <v>21</v>
      </c>
      <c r="H478" t="s">
        <v>15</v>
      </c>
      <c r="I478">
        <v>1</v>
      </c>
      <c r="J478" t="s">
        <v>23</v>
      </c>
      <c r="K478" t="s">
        <v>24</v>
      </c>
      <c r="L478">
        <v>42</v>
      </c>
      <c r="M478" t="str" cm="1">
        <f t="array" ref="M478">_xlfn.IFS(
L478&gt;50,"Old Age",
L478&gt;=31,"Middle Age",
L478&lt;31,"Young Age"
)</f>
        <v>Middle Age</v>
      </c>
      <c r="N478" t="s">
        <v>15</v>
      </c>
      <c r="O478" t="str" cm="1">
        <f t="array" ref="O478">_xlfn.IFS(D478&gt;120000, "High Income", D478&gt;=80000, "Average Income", D478&lt;80000, "Low Income")</f>
        <v>Low Income</v>
      </c>
      <c r="P478">
        <f>IF(Table24[[#This Row],[Purchased Bike]]="Yes",1,0)</f>
        <v>1</v>
      </c>
    </row>
    <row r="479" spans="1:16" x14ac:dyDescent="0.25">
      <c r="A479">
        <v>14032</v>
      </c>
      <c r="B479" t="s">
        <v>34</v>
      </c>
      <c r="C479" t="s">
        <v>34</v>
      </c>
      <c r="D479" s="2">
        <v>70000</v>
      </c>
      <c r="E479">
        <v>2</v>
      </c>
      <c r="F479" t="s">
        <v>27</v>
      </c>
      <c r="G479" t="s">
        <v>14</v>
      </c>
      <c r="H479" t="s">
        <v>18</v>
      </c>
      <c r="I479">
        <v>2</v>
      </c>
      <c r="J479" t="s">
        <v>26</v>
      </c>
      <c r="K479" t="s">
        <v>24</v>
      </c>
      <c r="L479">
        <v>50</v>
      </c>
      <c r="M479" t="str" cm="1">
        <f t="array" ref="M479">_xlfn.IFS(
L479&gt;50,"Old Age",
L479&gt;=31,"Middle Age",
L479&lt;31,"Young Age"
)</f>
        <v>Middle Age</v>
      </c>
      <c r="N479" t="s">
        <v>15</v>
      </c>
      <c r="O479" t="str" cm="1">
        <f t="array" ref="O479">_xlfn.IFS(D479&gt;120000, "High Income", D479&gt;=80000, "Average Income", D479&lt;80000, "Low Income")</f>
        <v>Low Income</v>
      </c>
      <c r="P479">
        <f>IF(Table24[[#This Row],[Purchased Bike]]="Yes",1,0)</f>
        <v>1</v>
      </c>
    </row>
    <row r="480" spans="1:16" x14ac:dyDescent="0.25">
      <c r="A480">
        <v>22610</v>
      </c>
      <c r="B480" t="s">
        <v>34</v>
      </c>
      <c r="C480" t="s">
        <v>34</v>
      </c>
      <c r="D480" s="2">
        <v>30000</v>
      </c>
      <c r="E480">
        <v>0</v>
      </c>
      <c r="F480" t="s">
        <v>13</v>
      </c>
      <c r="G480" t="s">
        <v>20</v>
      </c>
      <c r="H480" t="s">
        <v>15</v>
      </c>
      <c r="I480">
        <v>0</v>
      </c>
      <c r="J480" t="s">
        <v>16</v>
      </c>
      <c r="K480" t="s">
        <v>17</v>
      </c>
      <c r="L480">
        <v>35</v>
      </c>
      <c r="M480" t="str" cm="1">
        <f t="array" ref="M480">_xlfn.IFS(
L480&gt;50,"Old Age",
L480&gt;=31,"Middle Age",
L480&lt;31,"Young Age"
)</f>
        <v>Middle Age</v>
      </c>
      <c r="N480" t="s">
        <v>15</v>
      </c>
      <c r="O480" t="str" cm="1">
        <f t="array" ref="O480">_xlfn.IFS(D480&gt;120000, "High Income", D480&gt;=80000, "Average Income", D480&lt;80000, "Low Income")</f>
        <v>Low Income</v>
      </c>
      <c r="P480">
        <f>IF(Table24[[#This Row],[Purchased Bike]]="Yes",1,0)</f>
        <v>1</v>
      </c>
    </row>
    <row r="481" spans="1:16" x14ac:dyDescent="0.25">
      <c r="A481">
        <v>26984</v>
      </c>
      <c r="B481" t="s">
        <v>34</v>
      </c>
      <c r="C481" t="s">
        <v>34</v>
      </c>
      <c r="D481" s="2">
        <v>40000</v>
      </c>
      <c r="E481">
        <v>1</v>
      </c>
      <c r="F481" t="s">
        <v>13</v>
      </c>
      <c r="G481" t="s">
        <v>14</v>
      </c>
      <c r="H481" t="s">
        <v>15</v>
      </c>
      <c r="I481">
        <v>1</v>
      </c>
      <c r="J481" t="s">
        <v>16</v>
      </c>
      <c r="K481" t="s">
        <v>17</v>
      </c>
      <c r="L481">
        <v>32</v>
      </c>
      <c r="M481" t="str" cm="1">
        <f t="array" ref="M481">_xlfn.IFS(
L481&gt;50,"Old Age",
L481&gt;=31,"Middle Age",
L481&lt;31,"Young Age"
)</f>
        <v>Middle Age</v>
      </c>
      <c r="N481" t="s">
        <v>15</v>
      </c>
      <c r="O481" t="str" cm="1">
        <f t="array" ref="O481">_xlfn.IFS(D481&gt;120000, "High Income", D481&gt;=80000, "Average Income", D481&lt;80000, "Low Income")</f>
        <v>Low Income</v>
      </c>
      <c r="P481">
        <f>IF(Table24[[#This Row],[Purchased Bike]]="Yes",1,0)</f>
        <v>1</v>
      </c>
    </row>
    <row r="482" spans="1:16" hidden="1" x14ac:dyDescent="0.25">
      <c r="A482">
        <v>18294</v>
      </c>
      <c r="B482" t="s">
        <v>34</v>
      </c>
      <c r="C482" t="s">
        <v>33</v>
      </c>
      <c r="D482" s="2">
        <v>90000</v>
      </c>
      <c r="E482">
        <v>1</v>
      </c>
      <c r="F482" t="s">
        <v>13</v>
      </c>
      <c r="G482" t="s">
        <v>21</v>
      </c>
      <c r="H482" t="s">
        <v>15</v>
      </c>
      <c r="I482">
        <v>1</v>
      </c>
      <c r="J482" t="s">
        <v>23</v>
      </c>
      <c r="K482" t="s">
        <v>24</v>
      </c>
      <c r="L482">
        <v>46</v>
      </c>
      <c r="M482" t="str" cm="1">
        <f t="array" ref="M482">_xlfn.IFS(
L482&gt;50,"Old Age",
L482&gt;=31,"Middle Age",
L482&lt;31,"Young Age"
)</f>
        <v>Middle Age</v>
      </c>
      <c r="N482" t="s">
        <v>18</v>
      </c>
      <c r="O482" t="str" cm="1">
        <f t="array" ref="O482">_xlfn.IFS(D482&gt;120000, "High Income", D482&gt;=80000, "Average Income", D482&lt;80000, "Low Income")</f>
        <v>Average Income</v>
      </c>
      <c r="P482">
        <f>IF(Table24[[#This Row],[Purchased Bike]]="Yes",1,0)</f>
        <v>0</v>
      </c>
    </row>
    <row r="483" spans="1:16" x14ac:dyDescent="0.25">
      <c r="A483">
        <v>28564</v>
      </c>
      <c r="B483" t="s">
        <v>35</v>
      </c>
      <c r="C483" t="s">
        <v>33</v>
      </c>
      <c r="D483" s="2">
        <v>40000</v>
      </c>
      <c r="E483">
        <v>2</v>
      </c>
      <c r="F483" t="s">
        <v>19</v>
      </c>
      <c r="G483" t="s">
        <v>20</v>
      </c>
      <c r="H483" t="s">
        <v>15</v>
      </c>
      <c r="I483">
        <v>0</v>
      </c>
      <c r="J483" t="s">
        <v>26</v>
      </c>
      <c r="K483" t="s">
        <v>17</v>
      </c>
      <c r="L483">
        <v>33</v>
      </c>
      <c r="M483" t="str" cm="1">
        <f t="array" ref="M483">_xlfn.IFS(
L483&gt;50,"Old Age",
L483&gt;=31,"Middle Age",
L483&lt;31,"Young Age"
)</f>
        <v>Middle Age</v>
      </c>
      <c r="N483" t="s">
        <v>15</v>
      </c>
      <c r="O483" t="str" cm="1">
        <f t="array" ref="O483">_xlfn.IFS(D483&gt;120000, "High Income", D483&gt;=80000, "Average Income", D483&lt;80000, "Low Income")</f>
        <v>Low Income</v>
      </c>
      <c r="P483">
        <f>IF(Table24[[#This Row],[Purchased Bike]]="Yes",1,0)</f>
        <v>1</v>
      </c>
    </row>
    <row r="484" spans="1:16" x14ac:dyDescent="0.25">
      <c r="A484">
        <v>28521</v>
      </c>
      <c r="B484" t="s">
        <v>35</v>
      </c>
      <c r="C484" t="s">
        <v>34</v>
      </c>
      <c r="D484" s="2">
        <v>40000</v>
      </c>
      <c r="E484">
        <v>0</v>
      </c>
      <c r="F484" t="s">
        <v>31</v>
      </c>
      <c r="G484" t="s">
        <v>20</v>
      </c>
      <c r="H484" t="s">
        <v>18</v>
      </c>
      <c r="I484">
        <v>0</v>
      </c>
      <c r="J484" t="s">
        <v>16</v>
      </c>
      <c r="K484" t="s">
        <v>17</v>
      </c>
      <c r="L484">
        <v>36</v>
      </c>
      <c r="M484" t="str" cm="1">
        <f t="array" ref="M484">_xlfn.IFS(
L484&gt;50,"Old Age",
L484&gt;=31,"Middle Age",
L484&lt;31,"Young Age"
)</f>
        <v>Middle Age</v>
      </c>
      <c r="N484" t="s">
        <v>15</v>
      </c>
      <c r="O484" t="str" cm="1">
        <f t="array" ref="O484">_xlfn.IFS(D484&gt;120000, "High Income", D484&gt;=80000, "Average Income", D484&lt;80000, "Low Income")</f>
        <v>Low Income</v>
      </c>
      <c r="P484">
        <f>IF(Table24[[#This Row],[Purchased Bike]]="Yes",1,0)</f>
        <v>1</v>
      </c>
    </row>
    <row r="485" spans="1:16" hidden="1" x14ac:dyDescent="0.25">
      <c r="A485">
        <v>15450</v>
      </c>
      <c r="B485" t="s">
        <v>34</v>
      </c>
      <c r="C485" t="s">
        <v>34</v>
      </c>
      <c r="D485" s="2">
        <v>10000</v>
      </c>
      <c r="E485">
        <v>1</v>
      </c>
      <c r="F485" t="s">
        <v>31</v>
      </c>
      <c r="G485" t="s">
        <v>20</v>
      </c>
      <c r="H485" t="s">
        <v>15</v>
      </c>
      <c r="I485">
        <v>0</v>
      </c>
      <c r="J485" t="s">
        <v>16</v>
      </c>
      <c r="K485" t="s">
        <v>17</v>
      </c>
      <c r="L485">
        <v>70</v>
      </c>
      <c r="M485" t="str" cm="1">
        <f t="array" ref="M485">_xlfn.IFS(
L485&gt;50,"Old Age",
L485&gt;=31,"Middle Age",
L485&lt;31,"Young Age"
)</f>
        <v>Old Age</v>
      </c>
      <c r="N485" t="s">
        <v>18</v>
      </c>
      <c r="O485" t="str" cm="1">
        <f t="array" ref="O485">_xlfn.IFS(D485&gt;120000, "High Income", D485&gt;=80000, "Average Income", D485&lt;80000, "Low Income")</f>
        <v>Low Income</v>
      </c>
      <c r="P485">
        <f>IF(Table24[[#This Row],[Purchased Bike]]="Yes",1,0)</f>
        <v>0</v>
      </c>
    </row>
    <row r="486" spans="1:16" x14ac:dyDescent="0.25">
      <c r="A486">
        <v>25681</v>
      </c>
      <c r="B486" t="s">
        <v>35</v>
      </c>
      <c r="C486" t="s">
        <v>33</v>
      </c>
      <c r="D486" s="2">
        <v>30000</v>
      </c>
      <c r="E486">
        <v>0</v>
      </c>
      <c r="F486" t="s">
        <v>19</v>
      </c>
      <c r="G486" t="s">
        <v>20</v>
      </c>
      <c r="H486" t="s">
        <v>18</v>
      </c>
      <c r="I486">
        <v>1</v>
      </c>
      <c r="J486" t="s">
        <v>22</v>
      </c>
      <c r="K486" t="s">
        <v>17</v>
      </c>
      <c r="L486">
        <v>31</v>
      </c>
      <c r="M486" t="str" cm="1">
        <f t="array" ref="M486">_xlfn.IFS(
L486&gt;50,"Old Age",
L486&gt;=31,"Middle Age",
L486&lt;31,"Young Age"
)</f>
        <v>Middle Age</v>
      </c>
      <c r="N486" t="s">
        <v>15</v>
      </c>
      <c r="O486" t="str" cm="1">
        <f t="array" ref="O486">_xlfn.IFS(D486&gt;120000, "High Income", D486&gt;=80000, "Average Income", D486&lt;80000, "Low Income")</f>
        <v>Low Income</v>
      </c>
      <c r="P486">
        <f>IF(Table24[[#This Row],[Purchased Bike]]="Yes",1,0)</f>
        <v>1</v>
      </c>
    </row>
    <row r="487" spans="1:16" hidden="1" x14ac:dyDescent="0.25">
      <c r="A487">
        <v>19491</v>
      </c>
      <c r="B487" t="s">
        <v>35</v>
      </c>
      <c r="C487" t="s">
        <v>34</v>
      </c>
      <c r="D487" s="2">
        <v>30000</v>
      </c>
      <c r="E487">
        <v>2</v>
      </c>
      <c r="F487" t="s">
        <v>19</v>
      </c>
      <c r="G487" t="s">
        <v>20</v>
      </c>
      <c r="H487" t="s">
        <v>15</v>
      </c>
      <c r="I487">
        <v>2</v>
      </c>
      <c r="J487" t="s">
        <v>16</v>
      </c>
      <c r="K487" t="s">
        <v>17</v>
      </c>
      <c r="L487">
        <v>42</v>
      </c>
      <c r="M487" t="str" cm="1">
        <f t="array" ref="M487">_xlfn.IFS(
L487&gt;50,"Old Age",
L487&gt;=31,"Middle Age",
L487&lt;31,"Young Age"
)</f>
        <v>Middle Age</v>
      </c>
      <c r="N487" t="s">
        <v>18</v>
      </c>
      <c r="O487" t="str" cm="1">
        <f t="array" ref="O487">_xlfn.IFS(D487&gt;120000, "High Income", D487&gt;=80000, "Average Income", D487&lt;80000, "Low Income")</f>
        <v>Low Income</v>
      </c>
      <c r="P487">
        <f>IF(Table24[[#This Row],[Purchased Bike]]="Yes",1,0)</f>
        <v>0</v>
      </c>
    </row>
    <row r="488" spans="1:16" hidden="1" x14ac:dyDescent="0.25">
      <c r="A488">
        <v>26415</v>
      </c>
      <c r="B488" t="s">
        <v>34</v>
      </c>
      <c r="C488" t="s">
        <v>33</v>
      </c>
      <c r="D488" s="2">
        <v>90000</v>
      </c>
      <c r="E488">
        <v>4</v>
      </c>
      <c r="F488" t="s">
        <v>29</v>
      </c>
      <c r="G488" t="s">
        <v>14</v>
      </c>
      <c r="H488" t="s">
        <v>15</v>
      </c>
      <c r="I488">
        <v>4</v>
      </c>
      <c r="J488" t="s">
        <v>30</v>
      </c>
      <c r="K488" t="s">
        <v>17</v>
      </c>
      <c r="L488">
        <v>58</v>
      </c>
      <c r="M488" t="str" cm="1">
        <f t="array" ref="M488">_xlfn.IFS(
L488&gt;50,"Old Age",
L488&gt;=31,"Middle Age",
L488&lt;31,"Young Age"
)</f>
        <v>Old Age</v>
      </c>
      <c r="N488" t="s">
        <v>18</v>
      </c>
      <c r="O488" t="str" cm="1">
        <f t="array" ref="O488">_xlfn.IFS(D488&gt;120000, "High Income", D488&gt;=80000, "Average Income", D488&lt;80000, "Low Income")</f>
        <v>Average Income</v>
      </c>
      <c r="P488">
        <f>IF(Table24[[#This Row],[Purchased Bike]]="Yes",1,0)</f>
        <v>0</v>
      </c>
    </row>
    <row r="489" spans="1:16" hidden="1" x14ac:dyDescent="0.25">
      <c r="A489">
        <v>12821</v>
      </c>
      <c r="B489" t="s">
        <v>34</v>
      </c>
      <c r="C489" t="s">
        <v>34</v>
      </c>
      <c r="D489" s="2">
        <v>40000</v>
      </c>
      <c r="E489">
        <v>0</v>
      </c>
      <c r="F489" t="s">
        <v>13</v>
      </c>
      <c r="G489" t="s">
        <v>20</v>
      </c>
      <c r="H489" t="s">
        <v>15</v>
      </c>
      <c r="I489">
        <v>0</v>
      </c>
      <c r="J489" t="s">
        <v>16</v>
      </c>
      <c r="K489" t="s">
        <v>17</v>
      </c>
      <c r="L489">
        <v>39</v>
      </c>
      <c r="M489" t="str" cm="1">
        <f t="array" ref="M489">_xlfn.IFS(
L489&gt;50,"Old Age",
L489&gt;=31,"Middle Age",
L489&lt;31,"Young Age"
)</f>
        <v>Middle Age</v>
      </c>
      <c r="N489" t="s">
        <v>18</v>
      </c>
      <c r="O489" t="str" cm="1">
        <f t="array" ref="O489">_xlfn.IFS(D489&gt;120000, "High Income", D489&gt;=80000, "Average Income", D489&lt;80000, "Low Income")</f>
        <v>Low Income</v>
      </c>
      <c r="P489">
        <f>IF(Table24[[#This Row],[Purchased Bike]]="Yes",1,0)</f>
        <v>0</v>
      </c>
    </row>
    <row r="490" spans="1:16" hidden="1" x14ac:dyDescent="0.25">
      <c r="A490">
        <v>15629</v>
      </c>
      <c r="B490" t="s">
        <v>35</v>
      </c>
      <c r="C490" t="s">
        <v>33</v>
      </c>
      <c r="D490" s="2">
        <v>10000</v>
      </c>
      <c r="E490">
        <v>0</v>
      </c>
      <c r="F490" t="s">
        <v>29</v>
      </c>
      <c r="G490" t="s">
        <v>25</v>
      </c>
      <c r="H490" t="s">
        <v>15</v>
      </c>
      <c r="I490">
        <v>2</v>
      </c>
      <c r="J490" t="s">
        <v>26</v>
      </c>
      <c r="K490" t="s">
        <v>17</v>
      </c>
      <c r="L490">
        <v>34</v>
      </c>
      <c r="M490" t="str" cm="1">
        <f t="array" ref="M490">_xlfn.IFS(
L490&gt;50,"Old Age",
L490&gt;=31,"Middle Age",
L490&lt;31,"Young Age"
)</f>
        <v>Middle Age</v>
      </c>
      <c r="N490" t="s">
        <v>18</v>
      </c>
      <c r="O490" t="str" cm="1">
        <f t="array" ref="O490">_xlfn.IFS(D490&gt;120000, "High Income", D490&gt;=80000, "Average Income", D490&lt;80000, "Low Income")</f>
        <v>Low Income</v>
      </c>
      <c r="P490">
        <f>IF(Table24[[#This Row],[Purchased Bike]]="Yes",1,0)</f>
        <v>0</v>
      </c>
    </row>
    <row r="491" spans="1:16" hidden="1" x14ac:dyDescent="0.25">
      <c r="A491">
        <v>27835</v>
      </c>
      <c r="B491" t="s">
        <v>34</v>
      </c>
      <c r="C491" t="s">
        <v>34</v>
      </c>
      <c r="D491" s="2">
        <v>20000</v>
      </c>
      <c r="E491">
        <v>0</v>
      </c>
      <c r="F491" t="s">
        <v>29</v>
      </c>
      <c r="G491" t="s">
        <v>25</v>
      </c>
      <c r="H491" t="s">
        <v>15</v>
      </c>
      <c r="I491">
        <v>2</v>
      </c>
      <c r="J491" t="s">
        <v>16</v>
      </c>
      <c r="K491" t="s">
        <v>17</v>
      </c>
      <c r="L491">
        <v>32</v>
      </c>
      <c r="M491" t="str" cm="1">
        <f t="array" ref="M491">_xlfn.IFS(
L491&gt;50,"Old Age",
L491&gt;=31,"Middle Age",
L491&lt;31,"Young Age"
)</f>
        <v>Middle Age</v>
      </c>
      <c r="N491" t="s">
        <v>18</v>
      </c>
      <c r="O491" t="str" cm="1">
        <f t="array" ref="O491">_xlfn.IFS(D491&gt;120000, "High Income", D491&gt;=80000, "Average Income", D491&lt;80000, "Low Income")</f>
        <v>Low Income</v>
      </c>
      <c r="P491">
        <f>IF(Table24[[#This Row],[Purchased Bike]]="Yes",1,0)</f>
        <v>0</v>
      </c>
    </row>
    <row r="492" spans="1:16" hidden="1" x14ac:dyDescent="0.25">
      <c r="A492">
        <v>11738</v>
      </c>
      <c r="B492" t="s">
        <v>34</v>
      </c>
      <c r="C492" t="s">
        <v>34</v>
      </c>
      <c r="D492" s="2">
        <v>60000</v>
      </c>
      <c r="E492">
        <v>4</v>
      </c>
      <c r="F492" t="s">
        <v>13</v>
      </c>
      <c r="G492" t="s">
        <v>21</v>
      </c>
      <c r="H492" t="s">
        <v>15</v>
      </c>
      <c r="I492">
        <v>0</v>
      </c>
      <c r="J492" t="s">
        <v>22</v>
      </c>
      <c r="K492" t="s">
        <v>32</v>
      </c>
      <c r="L492">
        <v>46</v>
      </c>
      <c r="M492" t="str" cm="1">
        <f t="array" ref="M492">_xlfn.IFS(
L492&gt;50,"Old Age",
L492&gt;=31,"Middle Age",
L492&lt;31,"Young Age"
)</f>
        <v>Middle Age</v>
      </c>
      <c r="N492" t="s">
        <v>18</v>
      </c>
      <c r="O492" t="str" cm="1">
        <f t="array" ref="O492">_xlfn.IFS(D492&gt;120000, "High Income", D492&gt;=80000, "Average Income", D492&lt;80000, "Low Income")</f>
        <v>Low Income</v>
      </c>
      <c r="P492">
        <f>IF(Table24[[#This Row],[Purchased Bike]]="Yes",1,0)</f>
        <v>0</v>
      </c>
    </row>
    <row r="493" spans="1:16" hidden="1" x14ac:dyDescent="0.25">
      <c r="A493">
        <v>25065</v>
      </c>
      <c r="B493" t="s">
        <v>34</v>
      </c>
      <c r="C493" t="s">
        <v>34</v>
      </c>
      <c r="D493" s="2">
        <v>70000</v>
      </c>
      <c r="E493">
        <v>2</v>
      </c>
      <c r="F493" t="s">
        <v>29</v>
      </c>
      <c r="G493" t="s">
        <v>14</v>
      </c>
      <c r="H493" t="s">
        <v>15</v>
      </c>
      <c r="I493">
        <v>2</v>
      </c>
      <c r="J493" t="s">
        <v>23</v>
      </c>
      <c r="K493" t="s">
        <v>32</v>
      </c>
      <c r="L493">
        <v>48</v>
      </c>
      <c r="M493" t="str" cm="1">
        <f t="array" ref="M493">_xlfn.IFS(
L493&gt;50,"Old Age",
L493&gt;=31,"Middle Age",
L493&lt;31,"Young Age"
)</f>
        <v>Middle Age</v>
      </c>
      <c r="N493" t="s">
        <v>18</v>
      </c>
      <c r="O493" t="str" cm="1">
        <f t="array" ref="O493">_xlfn.IFS(D493&gt;120000, "High Income", D493&gt;=80000, "Average Income", D493&lt;80000, "Low Income")</f>
        <v>Low Income</v>
      </c>
      <c r="P493">
        <f>IF(Table24[[#This Row],[Purchased Bike]]="Yes",1,0)</f>
        <v>0</v>
      </c>
    </row>
    <row r="494" spans="1:16" x14ac:dyDescent="0.25">
      <c r="A494">
        <v>26238</v>
      </c>
      <c r="B494" t="s">
        <v>35</v>
      </c>
      <c r="C494" t="s">
        <v>33</v>
      </c>
      <c r="D494" s="2">
        <v>40000</v>
      </c>
      <c r="E494">
        <v>3</v>
      </c>
      <c r="F494" t="s">
        <v>19</v>
      </c>
      <c r="G494" t="s">
        <v>20</v>
      </c>
      <c r="H494" t="s">
        <v>15</v>
      </c>
      <c r="I494">
        <v>1</v>
      </c>
      <c r="J494" t="s">
        <v>26</v>
      </c>
      <c r="K494" t="s">
        <v>32</v>
      </c>
      <c r="L494">
        <v>31</v>
      </c>
      <c r="M494" t="str" cm="1">
        <f t="array" ref="M494">_xlfn.IFS(
L494&gt;50,"Old Age",
L494&gt;=31,"Middle Age",
L494&lt;31,"Young Age"
)</f>
        <v>Middle Age</v>
      </c>
      <c r="N494" t="s">
        <v>15</v>
      </c>
      <c r="O494" t="str" cm="1">
        <f t="array" ref="O494">_xlfn.IFS(D494&gt;120000, "High Income", D494&gt;=80000, "Average Income", D494&lt;80000, "Low Income")</f>
        <v>Low Income</v>
      </c>
      <c r="P494">
        <f>IF(Table24[[#This Row],[Purchased Bike]]="Yes",1,0)</f>
        <v>1</v>
      </c>
    </row>
    <row r="495" spans="1:16" hidden="1" x14ac:dyDescent="0.25">
      <c r="A495">
        <v>23707</v>
      </c>
      <c r="B495" t="s">
        <v>35</v>
      </c>
      <c r="C495" t="s">
        <v>34</v>
      </c>
      <c r="D495" s="2">
        <v>70000</v>
      </c>
      <c r="E495">
        <v>5</v>
      </c>
      <c r="F495" t="s">
        <v>13</v>
      </c>
      <c r="G495" t="s">
        <v>28</v>
      </c>
      <c r="H495" t="s">
        <v>15</v>
      </c>
      <c r="I495">
        <v>3</v>
      </c>
      <c r="J495" t="s">
        <v>30</v>
      </c>
      <c r="K495" t="s">
        <v>32</v>
      </c>
      <c r="L495">
        <v>60</v>
      </c>
      <c r="M495" t="str" cm="1">
        <f t="array" ref="M495">_xlfn.IFS(
L495&gt;50,"Old Age",
L495&gt;=31,"Middle Age",
L495&lt;31,"Young Age"
)</f>
        <v>Old Age</v>
      </c>
      <c r="N495" t="s">
        <v>15</v>
      </c>
      <c r="O495" t="str" cm="1">
        <f t="array" ref="O495">_xlfn.IFS(D495&gt;120000, "High Income", D495&gt;=80000, "Average Income", D495&lt;80000, "Low Income")</f>
        <v>Low Income</v>
      </c>
      <c r="P495">
        <f>IF(Table24[[#This Row],[Purchased Bike]]="Yes",1,0)</f>
        <v>1</v>
      </c>
    </row>
    <row r="496" spans="1:16" hidden="1" x14ac:dyDescent="0.25">
      <c r="A496">
        <v>27650</v>
      </c>
      <c r="B496" t="s">
        <v>34</v>
      </c>
      <c r="C496" t="s">
        <v>34</v>
      </c>
      <c r="D496" s="2">
        <v>70000</v>
      </c>
      <c r="E496">
        <v>4</v>
      </c>
      <c r="F496" t="s">
        <v>27</v>
      </c>
      <c r="G496" t="s">
        <v>21</v>
      </c>
      <c r="H496" t="s">
        <v>15</v>
      </c>
      <c r="I496">
        <v>0</v>
      </c>
      <c r="J496" t="s">
        <v>23</v>
      </c>
      <c r="K496" t="s">
        <v>32</v>
      </c>
      <c r="L496">
        <v>51</v>
      </c>
      <c r="M496" t="str" cm="1">
        <f t="array" ref="M496">_xlfn.IFS(
L496&gt;50,"Old Age",
L496&gt;=31,"Middle Age",
L496&lt;31,"Young Age"
)</f>
        <v>Old Age</v>
      </c>
      <c r="N496" t="s">
        <v>18</v>
      </c>
      <c r="O496" t="str" cm="1">
        <f t="array" ref="O496">_xlfn.IFS(D496&gt;120000, "High Income", D496&gt;=80000, "Average Income", D496&lt;80000, "Low Income")</f>
        <v>Low Income</v>
      </c>
      <c r="P496">
        <f>IF(Table24[[#This Row],[Purchased Bike]]="Yes",1,0)</f>
        <v>0</v>
      </c>
    </row>
    <row r="497" spans="1:16" hidden="1" x14ac:dyDescent="0.25">
      <c r="A497">
        <v>24981</v>
      </c>
      <c r="B497" t="s">
        <v>34</v>
      </c>
      <c r="C497" t="s">
        <v>34</v>
      </c>
      <c r="D497" s="2">
        <v>60000</v>
      </c>
      <c r="E497">
        <v>2</v>
      </c>
      <c r="F497" t="s">
        <v>19</v>
      </c>
      <c r="G497" t="s">
        <v>21</v>
      </c>
      <c r="H497" t="s">
        <v>15</v>
      </c>
      <c r="I497">
        <v>2</v>
      </c>
      <c r="J497" t="s">
        <v>30</v>
      </c>
      <c r="K497" t="s">
        <v>32</v>
      </c>
      <c r="L497">
        <v>56</v>
      </c>
      <c r="M497" t="str" cm="1">
        <f t="array" ref="M497">_xlfn.IFS(
L497&gt;50,"Old Age",
L497&gt;=31,"Middle Age",
L497&lt;31,"Young Age"
)</f>
        <v>Old Age</v>
      </c>
      <c r="N497" t="s">
        <v>18</v>
      </c>
      <c r="O497" t="str" cm="1">
        <f t="array" ref="O497">_xlfn.IFS(D497&gt;120000, "High Income", D497&gt;=80000, "Average Income", D497&lt;80000, "Low Income")</f>
        <v>Low Income</v>
      </c>
      <c r="P497">
        <f>IF(Table24[[#This Row],[Purchased Bike]]="Yes",1,0)</f>
        <v>0</v>
      </c>
    </row>
    <row r="498" spans="1:16" x14ac:dyDescent="0.25">
      <c r="A498">
        <v>20678</v>
      </c>
      <c r="B498" t="s">
        <v>35</v>
      </c>
      <c r="C498" t="s">
        <v>33</v>
      </c>
      <c r="D498" s="2">
        <v>60000</v>
      </c>
      <c r="E498">
        <v>3</v>
      </c>
      <c r="F498" t="s">
        <v>13</v>
      </c>
      <c r="G498" t="s">
        <v>14</v>
      </c>
      <c r="H498" t="s">
        <v>15</v>
      </c>
      <c r="I498">
        <v>1</v>
      </c>
      <c r="J498" t="s">
        <v>22</v>
      </c>
      <c r="K498" t="s">
        <v>32</v>
      </c>
      <c r="L498">
        <v>40</v>
      </c>
      <c r="M498" t="str" cm="1">
        <f t="array" ref="M498">_xlfn.IFS(
L498&gt;50,"Old Age",
L498&gt;=31,"Middle Age",
L498&lt;31,"Young Age"
)</f>
        <v>Middle Age</v>
      </c>
      <c r="N498" t="s">
        <v>15</v>
      </c>
      <c r="O498" t="str" cm="1">
        <f t="array" ref="O498">_xlfn.IFS(D498&gt;120000, "High Income", D498&gt;=80000, "Average Income", D498&lt;80000, "Low Income")</f>
        <v>Low Income</v>
      </c>
      <c r="P498">
        <f>IF(Table24[[#This Row],[Purchased Bike]]="Yes",1,0)</f>
        <v>1</v>
      </c>
    </row>
    <row r="499" spans="1:16" x14ac:dyDescent="0.25">
      <c r="A499">
        <v>15302</v>
      </c>
      <c r="B499" t="s">
        <v>35</v>
      </c>
      <c r="C499" t="s">
        <v>33</v>
      </c>
      <c r="D499" s="2">
        <v>70000</v>
      </c>
      <c r="E499">
        <v>1</v>
      </c>
      <c r="F499" t="s">
        <v>31</v>
      </c>
      <c r="G499" t="s">
        <v>21</v>
      </c>
      <c r="H499" t="s">
        <v>15</v>
      </c>
      <c r="I499">
        <v>0</v>
      </c>
      <c r="J499" t="s">
        <v>22</v>
      </c>
      <c r="K499" t="s">
        <v>32</v>
      </c>
      <c r="L499">
        <v>34</v>
      </c>
      <c r="M499" t="str" cm="1">
        <f t="array" ref="M499">_xlfn.IFS(
L499&gt;50,"Old Age",
L499&gt;=31,"Middle Age",
L499&lt;31,"Young Age"
)</f>
        <v>Middle Age</v>
      </c>
      <c r="N499" t="s">
        <v>15</v>
      </c>
      <c r="O499" t="str" cm="1">
        <f t="array" ref="O499">_xlfn.IFS(D499&gt;120000, "High Income", D499&gt;=80000, "Average Income", D499&lt;80000, "Low Income")</f>
        <v>Low Income</v>
      </c>
      <c r="P499">
        <f>IF(Table24[[#This Row],[Purchased Bike]]="Yes",1,0)</f>
        <v>1</v>
      </c>
    </row>
    <row r="500" spans="1:16" x14ac:dyDescent="0.25">
      <c r="A500">
        <v>26012</v>
      </c>
      <c r="B500" t="s">
        <v>34</v>
      </c>
      <c r="C500" t="s">
        <v>34</v>
      </c>
      <c r="D500" s="2">
        <v>80000</v>
      </c>
      <c r="E500">
        <v>1</v>
      </c>
      <c r="F500" t="s">
        <v>19</v>
      </c>
      <c r="G500" t="s">
        <v>14</v>
      </c>
      <c r="H500" t="s">
        <v>15</v>
      </c>
      <c r="I500">
        <v>1</v>
      </c>
      <c r="J500" t="s">
        <v>22</v>
      </c>
      <c r="K500" t="s">
        <v>32</v>
      </c>
      <c r="L500">
        <v>48</v>
      </c>
      <c r="M500" t="str" cm="1">
        <f t="array" ref="M500">_xlfn.IFS(
L500&gt;50,"Old Age",
L500&gt;=31,"Middle Age",
L500&lt;31,"Young Age"
)</f>
        <v>Middle Age</v>
      </c>
      <c r="N500" t="s">
        <v>15</v>
      </c>
      <c r="O500" t="str" cm="1">
        <f t="array" ref="O500">_xlfn.IFS(D500&gt;120000, "High Income", D500&gt;=80000, "Average Income", D500&lt;80000, "Low Income")</f>
        <v>Average Income</v>
      </c>
      <c r="P500">
        <f>IF(Table24[[#This Row],[Purchased Bike]]="Yes",1,0)</f>
        <v>1</v>
      </c>
    </row>
    <row r="501" spans="1:16" x14ac:dyDescent="0.25">
      <c r="A501">
        <v>26575</v>
      </c>
      <c r="B501" t="s">
        <v>35</v>
      </c>
      <c r="C501" t="s">
        <v>33</v>
      </c>
      <c r="D501" s="2">
        <v>40000</v>
      </c>
      <c r="E501">
        <v>0</v>
      </c>
      <c r="F501" t="s">
        <v>27</v>
      </c>
      <c r="G501" t="s">
        <v>14</v>
      </c>
      <c r="H501" t="s">
        <v>18</v>
      </c>
      <c r="I501">
        <v>2</v>
      </c>
      <c r="J501" t="s">
        <v>26</v>
      </c>
      <c r="K501" t="s">
        <v>32</v>
      </c>
      <c r="L501">
        <v>31</v>
      </c>
      <c r="M501" t="str" cm="1">
        <f t="array" ref="M501">_xlfn.IFS(
L501&gt;50,"Old Age",
L501&gt;=31,"Middle Age",
L501&lt;31,"Young Age"
)</f>
        <v>Middle Age</v>
      </c>
      <c r="N501" t="s">
        <v>15</v>
      </c>
      <c r="O501" t="str" cm="1">
        <f t="array" ref="O501">_xlfn.IFS(D501&gt;120000, "High Income", D501&gt;=80000, "Average Income", D501&lt;80000, "Low Income")</f>
        <v>Low Income</v>
      </c>
      <c r="P501">
        <f>IF(Table24[[#This Row],[Purchased Bike]]="Yes",1,0)</f>
        <v>1</v>
      </c>
    </row>
    <row r="502" spans="1:16" hidden="1" x14ac:dyDescent="0.25">
      <c r="A502">
        <v>15559</v>
      </c>
      <c r="B502" t="s">
        <v>34</v>
      </c>
      <c r="C502" t="s">
        <v>34</v>
      </c>
      <c r="D502" s="2">
        <v>60000</v>
      </c>
      <c r="E502">
        <v>5</v>
      </c>
      <c r="F502" t="s">
        <v>13</v>
      </c>
      <c r="G502" t="s">
        <v>21</v>
      </c>
      <c r="H502" t="s">
        <v>15</v>
      </c>
      <c r="I502">
        <v>1</v>
      </c>
      <c r="J502" t="s">
        <v>22</v>
      </c>
      <c r="K502" t="s">
        <v>32</v>
      </c>
      <c r="L502">
        <v>47</v>
      </c>
      <c r="M502" t="str" cm="1">
        <f t="array" ref="M502">_xlfn.IFS(
L502&gt;50,"Old Age",
L502&gt;=31,"Middle Age",
L502&lt;31,"Young Age"
)</f>
        <v>Middle Age</v>
      </c>
      <c r="N502" t="s">
        <v>18</v>
      </c>
      <c r="O502" t="str" cm="1">
        <f t="array" ref="O502">_xlfn.IFS(D502&gt;120000, "High Income", D502&gt;=80000, "Average Income", D502&lt;80000, "Low Income")</f>
        <v>Low Income</v>
      </c>
      <c r="P502">
        <f>IF(Table24[[#This Row],[Purchased Bike]]="Yes",1,0)</f>
        <v>0</v>
      </c>
    </row>
    <row r="503" spans="1:16" hidden="1" x14ac:dyDescent="0.25">
      <c r="A503">
        <v>19235</v>
      </c>
      <c r="B503" t="s">
        <v>34</v>
      </c>
      <c r="C503" t="s">
        <v>33</v>
      </c>
      <c r="D503" s="2">
        <v>50000</v>
      </c>
      <c r="E503">
        <v>0</v>
      </c>
      <c r="F503" t="s">
        <v>31</v>
      </c>
      <c r="G503" t="s">
        <v>14</v>
      </c>
      <c r="H503" t="s">
        <v>15</v>
      </c>
      <c r="I503">
        <v>0</v>
      </c>
      <c r="J503" t="s">
        <v>16</v>
      </c>
      <c r="K503" t="s">
        <v>32</v>
      </c>
      <c r="L503">
        <v>34</v>
      </c>
      <c r="M503" t="str" cm="1">
        <f t="array" ref="M503">_xlfn.IFS(
L503&gt;50,"Old Age",
L503&gt;=31,"Middle Age",
L503&lt;31,"Young Age"
)</f>
        <v>Middle Age</v>
      </c>
      <c r="N503" t="s">
        <v>18</v>
      </c>
      <c r="O503" t="str" cm="1">
        <f t="array" ref="O503">_xlfn.IFS(D503&gt;120000, "High Income", D503&gt;=80000, "Average Income", D503&lt;80000, "Low Income")</f>
        <v>Low Income</v>
      </c>
      <c r="P503">
        <f>IF(Table24[[#This Row],[Purchased Bike]]="Yes",1,0)</f>
        <v>0</v>
      </c>
    </row>
    <row r="504" spans="1:16" hidden="1" x14ac:dyDescent="0.25">
      <c r="A504">
        <v>15275</v>
      </c>
      <c r="B504" t="s">
        <v>34</v>
      </c>
      <c r="C504" t="s">
        <v>34</v>
      </c>
      <c r="D504" s="2">
        <v>40000</v>
      </c>
      <c r="E504">
        <v>0</v>
      </c>
      <c r="F504" t="s">
        <v>19</v>
      </c>
      <c r="G504" t="s">
        <v>14</v>
      </c>
      <c r="H504" t="s">
        <v>15</v>
      </c>
      <c r="I504">
        <v>1</v>
      </c>
      <c r="J504" t="s">
        <v>23</v>
      </c>
      <c r="K504" t="s">
        <v>32</v>
      </c>
      <c r="L504">
        <v>29</v>
      </c>
      <c r="M504" t="str" cm="1">
        <f t="array" ref="M504">_xlfn.IFS(
L504&gt;50,"Old Age",
L504&gt;=31,"Middle Age",
L504&lt;31,"Young Age"
)</f>
        <v>Young Age</v>
      </c>
      <c r="N504" t="s">
        <v>18</v>
      </c>
      <c r="O504" t="str" cm="1">
        <f t="array" ref="O504">_xlfn.IFS(D504&gt;120000, "High Income", D504&gt;=80000, "Average Income", D504&lt;80000, "Low Income")</f>
        <v>Low Income</v>
      </c>
      <c r="P504">
        <f>IF(Table24[[#This Row],[Purchased Bike]]="Yes",1,0)</f>
        <v>0</v>
      </c>
    </row>
    <row r="505" spans="1:16" x14ac:dyDescent="0.25">
      <c r="A505">
        <v>20339</v>
      </c>
      <c r="B505" t="s">
        <v>34</v>
      </c>
      <c r="C505" t="s">
        <v>33</v>
      </c>
      <c r="D505" s="2">
        <v>130000</v>
      </c>
      <c r="E505">
        <v>1</v>
      </c>
      <c r="F505" t="s">
        <v>13</v>
      </c>
      <c r="G505" t="s">
        <v>28</v>
      </c>
      <c r="H505" t="s">
        <v>15</v>
      </c>
      <c r="I505">
        <v>4</v>
      </c>
      <c r="J505" t="s">
        <v>22</v>
      </c>
      <c r="K505" t="s">
        <v>32</v>
      </c>
      <c r="L505">
        <v>44</v>
      </c>
      <c r="M505" t="str" cm="1">
        <f t="array" ref="M505">_xlfn.IFS(
L505&gt;50,"Old Age",
L505&gt;=31,"Middle Age",
L505&lt;31,"Young Age"
)</f>
        <v>Middle Age</v>
      </c>
      <c r="N505" t="s">
        <v>15</v>
      </c>
      <c r="O505" t="str" cm="1">
        <f t="array" ref="O505">_xlfn.IFS(D505&gt;120000, "High Income", D505&gt;=80000, "Average Income", D505&lt;80000, "Low Income")</f>
        <v>High Income</v>
      </c>
      <c r="P505">
        <f>IF(Table24[[#This Row],[Purchased Bike]]="Yes",1,0)</f>
        <v>1</v>
      </c>
    </row>
    <row r="506" spans="1:16" x14ac:dyDescent="0.25">
      <c r="A506">
        <v>25405</v>
      </c>
      <c r="B506" t="s">
        <v>34</v>
      </c>
      <c r="C506" t="s">
        <v>34</v>
      </c>
      <c r="D506" s="2">
        <v>70000</v>
      </c>
      <c r="E506">
        <v>2</v>
      </c>
      <c r="F506" t="s">
        <v>13</v>
      </c>
      <c r="G506" t="s">
        <v>14</v>
      </c>
      <c r="H506" t="s">
        <v>15</v>
      </c>
      <c r="I506">
        <v>1</v>
      </c>
      <c r="J506" t="s">
        <v>22</v>
      </c>
      <c r="K506" t="s">
        <v>32</v>
      </c>
      <c r="L506">
        <v>38</v>
      </c>
      <c r="M506" t="str" cm="1">
        <f t="array" ref="M506">_xlfn.IFS(
L506&gt;50,"Old Age",
L506&gt;=31,"Middle Age",
L506&lt;31,"Young Age"
)</f>
        <v>Middle Age</v>
      </c>
      <c r="N506" t="s">
        <v>15</v>
      </c>
      <c r="O506" t="str" cm="1">
        <f t="array" ref="O506">_xlfn.IFS(D506&gt;120000, "High Income", D506&gt;=80000, "Average Income", D506&lt;80000, "Low Income")</f>
        <v>Low Income</v>
      </c>
      <c r="P506">
        <f>IF(Table24[[#This Row],[Purchased Bike]]="Yes",1,0)</f>
        <v>1</v>
      </c>
    </row>
    <row r="507" spans="1:16" hidden="1" x14ac:dyDescent="0.25">
      <c r="A507">
        <v>15940</v>
      </c>
      <c r="B507" t="s">
        <v>34</v>
      </c>
      <c r="C507" t="s">
        <v>34</v>
      </c>
      <c r="D507" s="2">
        <v>100000</v>
      </c>
      <c r="E507">
        <v>4</v>
      </c>
      <c r="F507" t="s">
        <v>19</v>
      </c>
      <c r="G507" t="s">
        <v>21</v>
      </c>
      <c r="H507" t="s">
        <v>15</v>
      </c>
      <c r="I507">
        <v>4</v>
      </c>
      <c r="J507" t="s">
        <v>16</v>
      </c>
      <c r="K507" t="s">
        <v>32</v>
      </c>
      <c r="L507">
        <v>40</v>
      </c>
      <c r="M507" t="str" cm="1">
        <f t="array" ref="M507">_xlfn.IFS(
L507&gt;50,"Old Age",
L507&gt;=31,"Middle Age",
L507&lt;31,"Young Age"
)</f>
        <v>Middle Age</v>
      </c>
      <c r="N507" t="s">
        <v>18</v>
      </c>
      <c r="O507" t="str" cm="1">
        <f t="array" ref="O507">_xlfn.IFS(D507&gt;120000, "High Income", D507&gt;=80000, "Average Income", D507&lt;80000, "Low Income")</f>
        <v>Average Income</v>
      </c>
      <c r="P507">
        <f>IF(Table24[[#This Row],[Purchased Bike]]="Yes",1,0)</f>
        <v>0</v>
      </c>
    </row>
    <row r="508" spans="1:16" x14ac:dyDescent="0.25">
      <c r="A508">
        <v>25074</v>
      </c>
      <c r="B508" t="s">
        <v>34</v>
      </c>
      <c r="C508" t="s">
        <v>33</v>
      </c>
      <c r="D508" s="2">
        <v>70000</v>
      </c>
      <c r="E508">
        <v>4</v>
      </c>
      <c r="F508" t="s">
        <v>13</v>
      </c>
      <c r="G508" t="s">
        <v>21</v>
      </c>
      <c r="H508" t="s">
        <v>15</v>
      </c>
      <c r="I508">
        <v>2</v>
      </c>
      <c r="J508" t="s">
        <v>22</v>
      </c>
      <c r="K508" t="s">
        <v>32</v>
      </c>
      <c r="L508">
        <v>42</v>
      </c>
      <c r="M508" t="str" cm="1">
        <f t="array" ref="M508">_xlfn.IFS(
L508&gt;50,"Old Age",
L508&gt;=31,"Middle Age",
L508&lt;31,"Young Age"
)</f>
        <v>Middle Age</v>
      </c>
      <c r="N508" t="s">
        <v>15</v>
      </c>
      <c r="O508" t="str" cm="1">
        <f t="array" ref="O508">_xlfn.IFS(D508&gt;120000, "High Income", D508&gt;=80000, "Average Income", D508&lt;80000, "Low Income")</f>
        <v>Low Income</v>
      </c>
      <c r="P508">
        <f>IF(Table24[[#This Row],[Purchased Bike]]="Yes",1,0)</f>
        <v>1</v>
      </c>
    </row>
    <row r="509" spans="1:16" hidden="1" x14ac:dyDescent="0.25">
      <c r="A509">
        <v>24738</v>
      </c>
      <c r="B509" t="s">
        <v>34</v>
      </c>
      <c r="C509" t="s">
        <v>33</v>
      </c>
      <c r="D509" s="2">
        <v>40000</v>
      </c>
      <c r="E509">
        <v>1</v>
      </c>
      <c r="F509" t="s">
        <v>19</v>
      </c>
      <c r="G509" t="s">
        <v>20</v>
      </c>
      <c r="H509" t="s">
        <v>15</v>
      </c>
      <c r="I509">
        <v>1</v>
      </c>
      <c r="J509" t="s">
        <v>26</v>
      </c>
      <c r="K509" t="s">
        <v>32</v>
      </c>
      <c r="L509">
        <v>51</v>
      </c>
      <c r="M509" t="str" cm="1">
        <f t="array" ref="M509">_xlfn.IFS(
L509&gt;50,"Old Age",
L509&gt;=31,"Middle Age",
L509&lt;31,"Young Age"
)</f>
        <v>Old Age</v>
      </c>
      <c r="N509" t="s">
        <v>15</v>
      </c>
      <c r="O509" t="str" cm="1">
        <f t="array" ref="O509">_xlfn.IFS(D509&gt;120000, "High Income", D509&gt;=80000, "Average Income", D509&lt;80000, "Low Income")</f>
        <v>Low Income</v>
      </c>
      <c r="P509">
        <f>IF(Table24[[#This Row],[Purchased Bike]]="Yes",1,0)</f>
        <v>1</v>
      </c>
    </row>
    <row r="510" spans="1:16" hidden="1" x14ac:dyDescent="0.25">
      <c r="A510">
        <v>16337</v>
      </c>
      <c r="B510" t="s">
        <v>34</v>
      </c>
      <c r="C510" t="s">
        <v>34</v>
      </c>
      <c r="D510" s="2">
        <v>60000</v>
      </c>
      <c r="E510">
        <v>0</v>
      </c>
      <c r="F510" t="s">
        <v>19</v>
      </c>
      <c r="G510" t="s">
        <v>14</v>
      </c>
      <c r="H510" t="s">
        <v>18</v>
      </c>
      <c r="I510">
        <v>2</v>
      </c>
      <c r="J510" t="s">
        <v>26</v>
      </c>
      <c r="K510" t="s">
        <v>32</v>
      </c>
      <c r="L510">
        <v>29</v>
      </c>
      <c r="M510" t="str" cm="1">
        <f t="array" ref="M510">_xlfn.IFS(
L510&gt;50,"Old Age",
L510&gt;=31,"Middle Age",
L510&lt;31,"Young Age"
)</f>
        <v>Young Age</v>
      </c>
      <c r="N510" t="s">
        <v>18</v>
      </c>
      <c r="O510" t="str" cm="1">
        <f t="array" ref="O510">_xlfn.IFS(D510&gt;120000, "High Income", D510&gt;=80000, "Average Income", D510&lt;80000, "Low Income")</f>
        <v>Low Income</v>
      </c>
      <c r="P510">
        <f>IF(Table24[[#This Row],[Purchased Bike]]="Yes",1,0)</f>
        <v>0</v>
      </c>
    </row>
    <row r="511" spans="1:16" x14ac:dyDescent="0.25">
      <c r="A511">
        <v>24357</v>
      </c>
      <c r="B511" t="s">
        <v>34</v>
      </c>
      <c r="C511" t="s">
        <v>34</v>
      </c>
      <c r="D511" s="2">
        <v>80000</v>
      </c>
      <c r="E511">
        <v>3</v>
      </c>
      <c r="F511" t="s">
        <v>13</v>
      </c>
      <c r="G511" t="s">
        <v>21</v>
      </c>
      <c r="H511" t="s">
        <v>15</v>
      </c>
      <c r="I511">
        <v>1</v>
      </c>
      <c r="J511" t="s">
        <v>22</v>
      </c>
      <c r="K511" t="s">
        <v>32</v>
      </c>
      <c r="L511">
        <v>48</v>
      </c>
      <c r="M511" t="str" cm="1">
        <f t="array" ref="M511">_xlfn.IFS(
L511&gt;50,"Old Age",
L511&gt;=31,"Middle Age",
L511&lt;31,"Young Age"
)</f>
        <v>Middle Age</v>
      </c>
      <c r="N511" t="s">
        <v>15</v>
      </c>
      <c r="O511" t="str" cm="1">
        <f t="array" ref="O511">_xlfn.IFS(D511&gt;120000, "High Income", D511&gt;=80000, "Average Income", D511&lt;80000, "Low Income")</f>
        <v>Average Income</v>
      </c>
      <c r="P511">
        <f>IF(Table24[[#This Row],[Purchased Bike]]="Yes",1,0)</f>
        <v>1</v>
      </c>
    </row>
    <row r="512" spans="1:16" x14ac:dyDescent="0.25">
      <c r="A512">
        <v>18613</v>
      </c>
      <c r="B512" t="s">
        <v>35</v>
      </c>
      <c r="C512" t="s">
        <v>34</v>
      </c>
      <c r="D512" s="2">
        <v>70000</v>
      </c>
      <c r="E512">
        <v>0</v>
      </c>
      <c r="F512" t="s">
        <v>13</v>
      </c>
      <c r="G512" t="s">
        <v>21</v>
      </c>
      <c r="H512" t="s">
        <v>18</v>
      </c>
      <c r="I512">
        <v>1</v>
      </c>
      <c r="J512" t="s">
        <v>22</v>
      </c>
      <c r="K512" t="s">
        <v>32</v>
      </c>
      <c r="L512">
        <v>37</v>
      </c>
      <c r="M512" t="str" cm="1">
        <f t="array" ref="M512">_xlfn.IFS(
L512&gt;50,"Old Age",
L512&gt;=31,"Middle Age",
L512&lt;31,"Young Age"
)</f>
        <v>Middle Age</v>
      </c>
      <c r="N512" t="s">
        <v>15</v>
      </c>
      <c r="O512" t="str" cm="1">
        <f t="array" ref="O512">_xlfn.IFS(D512&gt;120000, "High Income", D512&gt;=80000, "Average Income", D512&lt;80000, "Low Income")</f>
        <v>Low Income</v>
      </c>
      <c r="P512">
        <f>IF(Table24[[#This Row],[Purchased Bike]]="Yes",1,0)</f>
        <v>1</v>
      </c>
    </row>
    <row r="513" spans="1:16" hidden="1" x14ac:dyDescent="0.25">
      <c r="A513">
        <v>12207</v>
      </c>
      <c r="B513" t="s">
        <v>35</v>
      </c>
      <c r="C513" t="s">
        <v>34</v>
      </c>
      <c r="D513" s="2">
        <v>80000</v>
      </c>
      <c r="E513">
        <v>4</v>
      </c>
      <c r="F513" t="s">
        <v>13</v>
      </c>
      <c r="G513" t="s">
        <v>28</v>
      </c>
      <c r="H513" t="s">
        <v>15</v>
      </c>
      <c r="I513">
        <v>0</v>
      </c>
      <c r="J513" t="s">
        <v>23</v>
      </c>
      <c r="K513" t="s">
        <v>32</v>
      </c>
      <c r="L513">
        <v>66</v>
      </c>
      <c r="M513" t="str" cm="1">
        <f t="array" ref="M513">_xlfn.IFS(
L513&gt;50,"Old Age",
L513&gt;=31,"Middle Age",
L513&lt;31,"Young Age"
)</f>
        <v>Old Age</v>
      </c>
      <c r="N513" t="s">
        <v>15</v>
      </c>
      <c r="O513" t="str" cm="1">
        <f t="array" ref="O513">_xlfn.IFS(D513&gt;120000, "High Income", D513&gt;=80000, "Average Income", D513&lt;80000, "Low Income")</f>
        <v>Average Income</v>
      </c>
      <c r="P513">
        <f>IF(Table24[[#This Row],[Purchased Bike]]="Yes",1,0)</f>
        <v>1</v>
      </c>
    </row>
    <row r="514" spans="1:16" x14ac:dyDescent="0.25">
      <c r="A514">
        <v>18052</v>
      </c>
      <c r="B514" t="s">
        <v>34</v>
      </c>
      <c r="C514" t="s">
        <v>33</v>
      </c>
      <c r="D514" s="2">
        <v>60000</v>
      </c>
      <c r="E514">
        <v>1</v>
      </c>
      <c r="F514" t="s">
        <v>19</v>
      </c>
      <c r="G514" t="s">
        <v>14</v>
      </c>
      <c r="H514" t="s">
        <v>15</v>
      </c>
      <c r="I514">
        <v>1</v>
      </c>
      <c r="J514" t="s">
        <v>16</v>
      </c>
      <c r="K514" t="s">
        <v>32</v>
      </c>
      <c r="L514">
        <v>45</v>
      </c>
      <c r="M514" t="str" cm="1">
        <f t="array" ref="M514">_xlfn.IFS(
L514&gt;50,"Old Age",
L514&gt;=31,"Middle Age",
L514&lt;31,"Young Age"
)</f>
        <v>Middle Age</v>
      </c>
      <c r="N514" t="s">
        <v>15</v>
      </c>
      <c r="O514" t="str" cm="1">
        <f t="array" ref="O514">_xlfn.IFS(D514&gt;120000, "High Income", D514&gt;=80000, "Average Income", D514&lt;80000, "Low Income")</f>
        <v>Low Income</v>
      </c>
      <c r="P514">
        <f>IF(Table24[[#This Row],[Purchased Bike]]="Yes",1,0)</f>
        <v>1</v>
      </c>
    </row>
    <row r="515" spans="1:16" hidden="1" x14ac:dyDescent="0.25">
      <c r="A515">
        <v>13353</v>
      </c>
      <c r="B515" t="s">
        <v>35</v>
      </c>
      <c r="C515" t="s">
        <v>33</v>
      </c>
      <c r="D515" s="2">
        <v>60000</v>
      </c>
      <c r="E515">
        <v>4</v>
      </c>
      <c r="F515" t="s">
        <v>31</v>
      </c>
      <c r="G515" t="s">
        <v>28</v>
      </c>
      <c r="H515" t="s">
        <v>15</v>
      </c>
      <c r="I515">
        <v>2</v>
      </c>
      <c r="J515" t="s">
        <v>30</v>
      </c>
      <c r="K515" t="s">
        <v>32</v>
      </c>
      <c r="L515">
        <v>61</v>
      </c>
      <c r="M515" t="str" cm="1">
        <f t="array" ref="M515">_xlfn.IFS(
L515&gt;50,"Old Age",
L515&gt;=31,"Middle Age",
L515&lt;31,"Young Age"
)</f>
        <v>Old Age</v>
      </c>
      <c r="N515" t="s">
        <v>15</v>
      </c>
      <c r="O515" t="str" cm="1">
        <f t="array" ref="O515">_xlfn.IFS(D515&gt;120000, "High Income", D515&gt;=80000, "Average Income", D515&lt;80000, "Low Income")</f>
        <v>Low Income</v>
      </c>
      <c r="P515">
        <f>IF(Table24[[#This Row],[Purchased Bike]]="Yes",1,0)</f>
        <v>1</v>
      </c>
    </row>
    <row r="516" spans="1:16" hidden="1" x14ac:dyDescent="0.25">
      <c r="A516">
        <v>19399</v>
      </c>
      <c r="B516" t="s">
        <v>35</v>
      </c>
      <c r="C516" t="s">
        <v>34</v>
      </c>
      <c r="D516" s="2">
        <v>40000</v>
      </c>
      <c r="E516">
        <v>0</v>
      </c>
      <c r="F516" t="s">
        <v>13</v>
      </c>
      <c r="G516" t="s">
        <v>21</v>
      </c>
      <c r="H516" t="s">
        <v>18</v>
      </c>
      <c r="I516">
        <v>1</v>
      </c>
      <c r="J516" t="s">
        <v>22</v>
      </c>
      <c r="K516" t="s">
        <v>32</v>
      </c>
      <c r="L516">
        <v>45</v>
      </c>
      <c r="M516" t="str" cm="1">
        <f t="array" ref="M516">_xlfn.IFS(
L516&gt;50,"Old Age",
L516&gt;=31,"Middle Age",
L516&lt;31,"Young Age"
)</f>
        <v>Middle Age</v>
      </c>
      <c r="N516" t="s">
        <v>18</v>
      </c>
      <c r="O516" t="str" cm="1">
        <f t="array" ref="O516">_xlfn.IFS(D516&gt;120000, "High Income", D516&gt;=80000, "Average Income", D516&lt;80000, "Low Income")</f>
        <v>Low Income</v>
      </c>
      <c r="P516">
        <f>IF(Table24[[#This Row],[Purchased Bike]]="Yes",1,0)</f>
        <v>0</v>
      </c>
    </row>
    <row r="517" spans="1:16" hidden="1" x14ac:dyDescent="0.25">
      <c r="A517">
        <v>16154</v>
      </c>
      <c r="B517" t="s">
        <v>34</v>
      </c>
      <c r="C517" t="s">
        <v>33</v>
      </c>
      <c r="D517" s="2">
        <v>70000</v>
      </c>
      <c r="E517">
        <v>5</v>
      </c>
      <c r="F517" t="s">
        <v>13</v>
      </c>
      <c r="G517" t="s">
        <v>21</v>
      </c>
      <c r="H517" t="s">
        <v>15</v>
      </c>
      <c r="I517">
        <v>2</v>
      </c>
      <c r="J517" t="s">
        <v>22</v>
      </c>
      <c r="K517" t="s">
        <v>32</v>
      </c>
      <c r="L517">
        <v>47</v>
      </c>
      <c r="M517" t="str" cm="1">
        <f t="array" ref="M517">_xlfn.IFS(
L517&gt;50,"Old Age",
L517&gt;=31,"Middle Age",
L517&lt;31,"Young Age"
)</f>
        <v>Middle Age</v>
      </c>
      <c r="N517" t="s">
        <v>18</v>
      </c>
      <c r="O517" t="str" cm="1">
        <f t="array" ref="O517">_xlfn.IFS(D517&gt;120000, "High Income", D517&gt;=80000, "Average Income", D517&lt;80000, "Low Income")</f>
        <v>Low Income</v>
      </c>
      <c r="P517">
        <f>IF(Table24[[#This Row],[Purchased Bike]]="Yes",1,0)</f>
        <v>0</v>
      </c>
    </row>
    <row r="518" spans="1:16" hidden="1" x14ac:dyDescent="0.25">
      <c r="A518">
        <v>22219</v>
      </c>
      <c r="B518" t="s">
        <v>34</v>
      </c>
      <c r="C518" t="s">
        <v>33</v>
      </c>
      <c r="D518" s="2">
        <v>60000</v>
      </c>
      <c r="E518">
        <v>2</v>
      </c>
      <c r="F518" t="s">
        <v>27</v>
      </c>
      <c r="G518" t="s">
        <v>21</v>
      </c>
      <c r="H518" t="s">
        <v>15</v>
      </c>
      <c r="I518">
        <v>2</v>
      </c>
      <c r="J518" t="s">
        <v>23</v>
      </c>
      <c r="K518" t="s">
        <v>32</v>
      </c>
      <c r="L518">
        <v>49</v>
      </c>
      <c r="M518" t="str" cm="1">
        <f t="array" ref="M518">_xlfn.IFS(
L518&gt;50,"Old Age",
L518&gt;=31,"Middle Age",
L518&lt;31,"Young Age"
)</f>
        <v>Middle Age</v>
      </c>
      <c r="N518" t="s">
        <v>18</v>
      </c>
      <c r="O518" t="str" cm="1">
        <f t="array" ref="O518">_xlfn.IFS(D518&gt;120000, "High Income", D518&gt;=80000, "Average Income", D518&lt;80000, "Low Income")</f>
        <v>Low Income</v>
      </c>
      <c r="P518">
        <f>IF(Table24[[#This Row],[Purchased Bike]]="Yes",1,0)</f>
        <v>0</v>
      </c>
    </row>
    <row r="519" spans="1:16" x14ac:dyDescent="0.25">
      <c r="A519">
        <v>17269</v>
      </c>
      <c r="B519" t="s">
        <v>35</v>
      </c>
      <c r="C519" t="s">
        <v>34</v>
      </c>
      <c r="D519" s="2">
        <v>60000</v>
      </c>
      <c r="E519">
        <v>3</v>
      </c>
      <c r="F519" t="s">
        <v>13</v>
      </c>
      <c r="G519" t="s">
        <v>21</v>
      </c>
      <c r="H519" t="s">
        <v>18</v>
      </c>
      <c r="I519">
        <v>0</v>
      </c>
      <c r="J519" t="s">
        <v>16</v>
      </c>
      <c r="K519" t="s">
        <v>32</v>
      </c>
      <c r="L519">
        <v>47</v>
      </c>
      <c r="M519" t="str" cm="1">
        <f t="array" ref="M519">_xlfn.IFS(
L519&gt;50,"Old Age",
L519&gt;=31,"Middle Age",
L519&lt;31,"Young Age"
)</f>
        <v>Middle Age</v>
      </c>
      <c r="N519" t="s">
        <v>15</v>
      </c>
      <c r="O519" t="str" cm="1">
        <f t="array" ref="O519">_xlfn.IFS(D519&gt;120000, "High Income", D519&gt;=80000, "Average Income", D519&lt;80000, "Low Income")</f>
        <v>Low Income</v>
      </c>
      <c r="P519">
        <f>IF(Table24[[#This Row],[Purchased Bike]]="Yes",1,0)</f>
        <v>1</v>
      </c>
    </row>
    <row r="520" spans="1:16" x14ac:dyDescent="0.25">
      <c r="A520">
        <v>23586</v>
      </c>
      <c r="B520" t="s">
        <v>34</v>
      </c>
      <c r="C520" t="s">
        <v>33</v>
      </c>
      <c r="D520" s="2">
        <v>80000</v>
      </c>
      <c r="E520">
        <v>0</v>
      </c>
      <c r="F520" t="s">
        <v>13</v>
      </c>
      <c r="G520" t="s">
        <v>28</v>
      </c>
      <c r="H520" t="s">
        <v>15</v>
      </c>
      <c r="I520">
        <v>1</v>
      </c>
      <c r="J520" t="s">
        <v>26</v>
      </c>
      <c r="K520" t="s">
        <v>32</v>
      </c>
      <c r="L520">
        <v>34</v>
      </c>
      <c r="M520" t="str" cm="1">
        <f t="array" ref="M520">_xlfn.IFS(
L520&gt;50,"Old Age",
L520&gt;=31,"Middle Age",
L520&lt;31,"Young Age"
)</f>
        <v>Middle Age</v>
      </c>
      <c r="N520" t="s">
        <v>15</v>
      </c>
      <c r="O520" t="str" cm="1">
        <f t="array" ref="O520">_xlfn.IFS(D520&gt;120000, "High Income", D520&gt;=80000, "Average Income", D520&lt;80000, "Low Income")</f>
        <v>Average Income</v>
      </c>
      <c r="P520">
        <f>IF(Table24[[#This Row],[Purchased Bike]]="Yes",1,0)</f>
        <v>1</v>
      </c>
    </row>
    <row r="521" spans="1:16" hidden="1" x14ac:dyDescent="0.25">
      <c r="A521">
        <v>15740</v>
      </c>
      <c r="B521" t="s">
        <v>34</v>
      </c>
      <c r="C521" t="s">
        <v>34</v>
      </c>
      <c r="D521" s="2">
        <v>80000</v>
      </c>
      <c r="E521">
        <v>5</v>
      </c>
      <c r="F521" t="s">
        <v>13</v>
      </c>
      <c r="G521" t="s">
        <v>28</v>
      </c>
      <c r="H521" t="s">
        <v>15</v>
      </c>
      <c r="I521">
        <v>2</v>
      </c>
      <c r="J521" t="s">
        <v>26</v>
      </c>
      <c r="K521" t="s">
        <v>32</v>
      </c>
      <c r="L521">
        <v>64</v>
      </c>
      <c r="M521" t="str" cm="1">
        <f t="array" ref="M521">_xlfn.IFS(
L521&gt;50,"Old Age",
L521&gt;=31,"Middle Age",
L521&lt;31,"Young Age"
)</f>
        <v>Old Age</v>
      </c>
      <c r="N521" t="s">
        <v>18</v>
      </c>
      <c r="O521" t="str" cm="1">
        <f t="array" ref="O521">_xlfn.IFS(D521&gt;120000, "High Income", D521&gt;=80000, "Average Income", D521&lt;80000, "Low Income")</f>
        <v>Average Income</v>
      </c>
      <c r="P521">
        <f>IF(Table24[[#This Row],[Purchased Bike]]="Yes",1,0)</f>
        <v>0</v>
      </c>
    </row>
    <row r="522" spans="1:16" hidden="1" x14ac:dyDescent="0.25">
      <c r="A522">
        <v>27638</v>
      </c>
      <c r="B522" t="s">
        <v>35</v>
      </c>
      <c r="C522" t="s">
        <v>34</v>
      </c>
      <c r="D522" s="2">
        <v>100000</v>
      </c>
      <c r="E522">
        <v>1</v>
      </c>
      <c r="F522" t="s">
        <v>19</v>
      </c>
      <c r="G522" t="s">
        <v>21</v>
      </c>
      <c r="H522" t="s">
        <v>18</v>
      </c>
      <c r="I522">
        <v>3</v>
      </c>
      <c r="J522" t="s">
        <v>26</v>
      </c>
      <c r="K522" t="s">
        <v>32</v>
      </c>
      <c r="L522">
        <v>44</v>
      </c>
      <c r="M522" t="str" cm="1">
        <f t="array" ref="M522">_xlfn.IFS(
L522&gt;50,"Old Age",
L522&gt;=31,"Middle Age",
L522&lt;31,"Young Age"
)</f>
        <v>Middle Age</v>
      </c>
      <c r="N522" t="s">
        <v>18</v>
      </c>
      <c r="O522" t="str" cm="1">
        <f t="array" ref="O522">_xlfn.IFS(D522&gt;120000, "High Income", D522&gt;=80000, "Average Income", D522&lt;80000, "Low Income")</f>
        <v>Average Income</v>
      </c>
      <c r="P522">
        <f>IF(Table24[[#This Row],[Purchased Bike]]="Yes",1,0)</f>
        <v>0</v>
      </c>
    </row>
    <row r="523" spans="1:16" hidden="1" x14ac:dyDescent="0.25">
      <c r="A523">
        <v>18976</v>
      </c>
      <c r="B523" t="s">
        <v>35</v>
      </c>
      <c r="C523" t="s">
        <v>34</v>
      </c>
      <c r="D523" s="2">
        <v>40000</v>
      </c>
      <c r="E523">
        <v>4</v>
      </c>
      <c r="F523" t="s">
        <v>27</v>
      </c>
      <c r="G523" t="s">
        <v>21</v>
      </c>
      <c r="H523" t="s">
        <v>15</v>
      </c>
      <c r="I523">
        <v>2</v>
      </c>
      <c r="J523" t="s">
        <v>30</v>
      </c>
      <c r="K523" t="s">
        <v>32</v>
      </c>
      <c r="L523">
        <v>62</v>
      </c>
      <c r="M523" t="str" cm="1">
        <f t="array" ref="M523">_xlfn.IFS(
L523&gt;50,"Old Age",
L523&gt;=31,"Middle Age",
L523&lt;31,"Young Age"
)</f>
        <v>Old Age</v>
      </c>
      <c r="N523" t="s">
        <v>15</v>
      </c>
      <c r="O523" t="str" cm="1">
        <f t="array" ref="O523">_xlfn.IFS(D523&gt;120000, "High Income", D523&gt;=80000, "Average Income", D523&lt;80000, "Low Income")</f>
        <v>Low Income</v>
      </c>
      <c r="P523">
        <f>IF(Table24[[#This Row],[Purchased Bike]]="Yes",1,0)</f>
        <v>1</v>
      </c>
    </row>
    <row r="524" spans="1:16" x14ac:dyDescent="0.25">
      <c r="A524">
        <v>19413</v>
      </c>
      <c r="B524" t="s">
        <v>35</v>
      </c>
      <c r="C524" t="s">
        <v>34</v>
      </c>
      <c r="D524" s="2">
        <v>60000</v>
      </c>
      <c r="E524">
        <v>3</v>
      </c>
      <c r="F524" t="s">
        <v>13</v>
      </c>
      <c r="G524" t="s">
        <v>21</v>
      </c>
      <c r="H524" t="s">
        <v>18</v>
      </c>
      <c r="I524">
        <v>1</v>
      </c>
      <c r="J524" t="s">
        <v>16</v>
      </c>
      <c r="K524" t="s">
        <v>32</v>
      </c>
      <c r="L524">
        <v>47</v>
      </c>
      <c r="M524" t="str" cm="1">
        <f t="array" ref="M524">_xlfn.IFS(
L524&gt;50,"Old Age",
L524&gt;=31,"Middle Age",
L524&lt;31,"Young Age"
)</f>
        <v>Middle Age</v>
      </c>
      <c r="N524" t="s">
        <v>15</v>
      </c>
      <c r="O524" t="str" cm="1">
        <f t="array" ref="O524">_xlfn.IFS(D524&gt;120000, "High Income", D524&gt;=80000, "Average Income", D524&lt;80000, "Low Income")</f>
        <v>Low Income</v>
      </c>
      <c r="P524">
        <f>IF(Table24[[#This Row],[Purchased Bike]]="Yes",1,0)</f>
        <v>1</v>
      </c>
    </row>
    <row r="525" spans="1:16" x14ac:dyDescent="0.25">
      <c r="A525">
        <v>13283</v>
      </c>
      <c r="B525" t="s">
        <v>34</v>
      </c>
      <c r="C525" t="s">
        <v>34</v>
      </c>
      <c r="D525" s="2">
        <v>80000</v>
      </c>
      <c r="E525">
        <v>3</v>
      </c>
      <c r="F525" t="s">
        <v>19</v>
      </c>
      <c r="G525" t="s">
        <v>21</v>
      </c>
      <c r="H525" t="s">
        <v>18</v>
      </c>
      <c r="I525">
        <v>2</v>
      </c>
      <c r="J525" t="s">
        <v>16</v>
      </c>
      <c r="K525" t="s">
        <v>32</v>
      </c>
      <c r="L525">
        <v>49</v>
      </c>
      <c r="M525" t="str" cm="1">
        <f t="array" ref="M525">_xlfn.IFS(
L525&gt;50,"Old Age",
L525&gt;=31,"Middle Age",
L525&lt;31,"Young Age"
)</f>
        <v>Middle Age</v>
      </c>
      <c r="N525" t="s">
        <v>15</v>
      </c>
      <c r="O525" t="str" cm="1">
        <f t="array" ref="O525">_xlfn.IFS(D525&gt;120000, "High Income", D525&gt;=80000, "Average Income", D525&lt;80000, "Low Income")</f>
        <v>Average Income</v>
      </c>
      <c r="P525">
        <f>IF(Table24[[#This Row],[Purchased Bike]]="Yes",1,0)</f>
        <v>1</v>
      </c>
    </row>
    <row r="526" spans="1:16" hidden="1" x14ac:dyDescent="0.25">
      <c r="A526">
        <v>17471</v>
      </c>
      <c r="B526" t="s">
        <v>35</v>
      </c>
      <c r="C526" t="s">
        <v>33</v>
      </c>
      <c r="D526" s="2">
        <v>80000</v>
      </c>
      <c r="E526">
        <v>4</v>
      </c>
      <c r="F526" t="s">
        <v>31</v>
      </c>
      <c r="G526" t="s">
        <v>28</v>
      </c>
      <c r="H526" t="s">
        <v>15</v>
      </c>
      <c r="I526">
        <v>2</v>
      </c>
      <c r="J526" t="s">
        <v>23</v>
      </c>
      <c r="K526" t="s">
        <v>32</v>
      </c>
      <c r="L526">
        <v>67</v>
      </c>
      <c r="M526" t="str" cm="1">
        <f t="array" ref="M526">_xlfn.IFS(
L526&gt;50,"Old Age",
L526&gt;=31,"Middle Age",
L526&lt;31,"Young Age"
)</f>
        <v>Old Age</v>
      </c>
      <c r="N526" t="s">
        <v>18</v>
      </c>
      <c r="O526" t="str" cm="1">
        <f t="array" ref="O526">_xlfn.IFS(D526&gt;120000, "High Income", D526&gt;=80000, "Average Income", D526&lt;80000, "Low Income")</f>
        <v>Average Income</v>
      </c>
      <c r="P526">
        <f>IF(Table24[[#This Row],[Purchased Bike]]="Yes",1,0)</f>
        <v>0</v>
      </c>
    </row>
    <row r="527" spans="1:16" hidden="1" x14ac:dyDescent="0.25">
      <c r="A527">
        <v>16791</v>
      </c>
      <c r="B527" t="s">
        <v>35</v>
      </c>
      <c r="C527" t="s">
        <v>34</v>
      </c>
      <c r="D527" s="2">
        <v>60000</v>
      </c>
      <c r="E527">
        <v>5</v>
      </c>
      <c r="F527" t="s">
        <v>13</v>
      </c>
      <c r="G527" t="s">
        <v>28</v>
      </c>
      <c r="H527" t="s">
        <v>15</v>
      </c>
      <c r="I527">
        <v>3</v>
      </c>
      <c r="J527" t="s">
        <v>30</v>
      </c>
      <c r="K527" t="s">
        <v>32</v>
      </c>
      <c r="L527">
        <v>59</v>
      </c>
      <c r="M527" t="str" cm="1">
        <f t="array" ref="M527">_xlfn.IFS(
L527&gt;50,"Old Age",
L527&gt;=31,"Middle Age",
L527&lt;31,"Young Age"
)</f>
        <v>Old Age</v>
      </c>
      <c r="N527" t="s">
        <v>15</v>
      </c>
      <c r="O527" t="str" cm="1">
        <f t="array" ref="O527">_xlfn.IFS(D527&gt;120000, "High Income", D527&gt;=80000, "Average Income", D527&lt;80000, "Low Income")</f>
        <v>Low Income</v>
      </c>
      <c r="P527">
        <f>IF(Table24[[#This Row],[Purchased Bike]]="Yes",1,0)</f>
        <v>1</v>
      </c>
    </row>
    <row r="528" spans="1:16" hidden="1" x14ac:dyDescent="0.25">
      <c r="A528">
        <v>15382</v>
      </c>
      <c r="B528" t="s">
        <v>34</v>
      </c>
      <c r="C528" t="s">
        <v>33</v>
      </c>
      <c r="D528" s="2">
        <v>110000</v>
      </c>
      <c r="E528">
        <v>1</v>
      </c>
      <c r="F528" t="s">
        <v>13</v>
      </c>
      <c r="G528" t="s">
        <v>28</v>
      </c>
      <c r="H528" t="s">
        <v>15</v>
      </c>
      <c r="I528">
        <v>2</v>
      </c>
      <c r="J528" t="s">
        <v>26</v>
      </c>
      <c r="K528" t="s">
        <v>32</v>
      </c>
      <c r="L528">
        <v>44</v>
      </c>
      <c r="M528" t="str" cm="1">
        <f t="array" ref="M528">_xlfn.IFS(
L528&gt;50,"Old Age",
L528&gt;=31,"Middle Age",
L528&lt;31,"Young Age"
)</f>
        <v>Middle Age</v>
      </c>
      <c r="N528" t="s">
        <v>18</v>
      </c>
      <c r="O528" t="str" cm="1">
        <f t="array" ref="O528">_xlfn.IFS(D528&gt;120000, "High Income", D528&gt;=80000, "Average Income", D528&lt;80000, "Low Income")</f>
        <v>Average Income</v>
      </c>
      <c r="P528">
        <f>IF(Table24[[#This Row],[Purchased Bike]]="Yes",1,0)</f>
        <v>0</v>
      </c>
    </row>
    <row r="529" spans="1:16" hidden="1" x14ac:dyDescent="0.25">
      <c r="A529">
        <v>11641</v>
      </c>
      <c r="B529" t="s">
        <v>34</v>
      </c>
      <c r="C529" t="s">
        <v>34</v>
      </c>
      <c r="D529" s="2">
        <v>50000</v>
      </c>
      <c r="E529">
        <v>1</v>
      </c>
      <c r="F529" t="s">
        <v>13</v>
      </c>
      <c r="G529" t="s">
        <v>14</v>
      </c>
      <c r="H529" t="s">
        <v>15</v>
      </c>
      <c r="I529">
        <v>0</v>
      </c>
      <c r="J529" t="s">
        <v>16</v>
      </c>
      <c r="K529" t="s">
        <v>32</v>
      </c>
      <c r="L529">
        <v>36</v>
      </c>
      <c r="M529" t="str" cm="1">
        <f t="array" ref="M529">_xlfn.IFS(
L529&gt;50,"Old Age",
L529&gt;=31,"Middle Age",
L529&lt;31,"Young Age"
)</f>
        <v>Middle Age</v>
      </c>
      <c r="N529" t="s">
        <v>18</v>
      </c>
      <c r="O529" t="str" cm="1">
        <f t="array" ref="O529">_xlfn.IFS(D529&gt;120000, "High Income", D529&gt;=80000, "Average Income", D529&lt;80000, "Low Income")</f>
        <v>Low Income</v>
      </c>
      <c r="P529">
        <f>IF(Table24[[#This Row],[Purchased Bike]]="Yes",1,0)</f>
        <v>0</v>
      </c>
    </row>
    <row r="530" spans="1:16" hidden="1" x14ac:dyDescent="0.25">
      <c r="A530">
        <v>11935</v>
      </c>
      <c r="B530" t="s">
        <v>35</v>
      </c>
      <c r="C530" t="s">
        <v>33</v>
      </c>
      <c r="D530" s="2">
        <v>30000</v>
      </c>
      <c r="E530">
        <v>0</v>
      </c>
      <c r="F530" t="s">
        <v>19</v>
      </c>
      <c r="G530" t="s">
        <v>14</v>
      </c>
      <c r="H530" t="s">
        <v>15</v>
      </c>
      <c r="I530">
        <v>1</v>
      </c>
      <c r="J530" t="s">
        <v>23</v>
      </c>
      <c r="K530" t="s">
        <v>32</v>
      </c>
      <c r="L530">
        <v>28</v>
      </c>
      <c r="M530" t="str" cm="1">
        <f t="array" ref="M530">_xlfn.IFS(
L530&gt;50,"Old Age",
L530&gt;=31,"Middle Age",
L530&lt;31,"Young Age"
)</f>
        <v>Young Age</v>
      </c>
      <c r="N530" t="s">
        <v>18</v>
      </c>
      <c r="O530" t="str" cm="1">
        <f t="array" ref="O530">_xlfn.IFS(D530&gt;120000, "High Income", D530&gt;=80000, "Average Income", D530&lt;80000, "Low Income")</f>
        <v>Low Income</v>
      </c>
      <c r="P530">
        <f>IF(Table24[[#This Row],[Purchased Bike]]="Yes",1,0)</f>
        <v>0</v>
      </c>
    </row>
    <row r="531" spans="1:16" hidden="1" x14ac:dyDescent="0.25">
      <c r="A531">
        <v>13233</v>
      </c>
      <c r="B531" t="s">
        <v>34</v>
      </c>
      <c r="C531" t="s">
        <v>34</v>
      </c>
      <c r="D531" s="2">
        <v>60000</v>
      </c>
      <c r="E531">
        <v>2</v>
      </c>
      <c r="F531" t="s">
        <v>19</v>
      </c>
      <c r="G531" t="s">
        <v>21</v>
      </c>
      <c r="H531" t="s">
        <v>15</v>
      </c>
      <c r="I531">
        <v>1</v>
      </c>
      <c r="J531" t="s">
        <v>30</v>
      </c>
      <c r="K531" t="s">
        <v>32</v>
      </c>
      <c r="L531">
        <v>57</v>
      </c>
      <c r="M531" t="str" cm="1">
        <f t="array" ref="M531">_xlfn.IFS(
L531&gt;50,"Old Age",
L531&gt;=31,"Middle Age",
L531&lt;31,"Young Age"
)</f>
        <v>Old Age</v>
      </c>
      <c r="N531" t="s">
        <v>15</v>
      </c>
      <c r="O531" t="str" cm="1">
        <f t="array" ref="O531">_xlfn.IFS(D531&gt;120000, "High Income", D531&gt;=80000, "Average Income", D531&lt;80000, "Low Income")</f>
        <v>Low Income</v>
      </c>
      <c r="P531">
        <f>IF(Table24[[#This Row],[Purchased Bike]]="Yes",1,0)</f>
        <v>1</v>
      </c>
    </row>
    <row r="532" spans="1:16" hidden="1" x14ac:dyDescent="0.25">
      <c r="A532">
        <v>25909</v>
      </c>
      <c r="B532" t="s">
        <v>34</v>
      </c>
      <c r="C532" t="s">
        <v>34</v>
      </c>
      <c r="D532" s="2">
        <v>60000</v>
      </c>
      <c r="E532">
        <v>0</v>
      </c>
      <c r="F532" t="s">
        <v>19</v>
      </c>
      <c r="G532" t="s">
        <v>14</v>
      </c>
      <c r="H532" t="s">
        <v>15</v>
      </c>
      <c r="I532">
        <v>1</v>
      </c>
      <c r="J532" t="s">
        <v>23</v>
      </c>
      <c r="K532" t="s">
        <v>32</v>
      </c>
      <c r="L532">
        <v>27</v>
      </c>
      <c r="M532" t="str" cm="1">
        <f t="array" ref="M532">_xlfn.IFS(
L532&gt;50,"Old Age",
L532&gt;=31,"Middle Age",
L532&lt;31,"Young Age"
)</f>
        <v>Young Age</v>
      </c>
      <c r="N532" t="s">
        <v>15</v>
      </c>
      <c r="O532" t="str" cm="1">
        <f t="array" ref="O532">_xlfn.IFS(D532&gt;120000, "High Income", D532&gt;=80000, "Average Income", D532&lt;80000, "Low Income")</f>
        <v>Low Income</v>
      </c>
      <c r="P532">
        <f>IF(Table24[[#This Row],[Purchased Bike]]="Yes",1,0)</f>
        <v>1</v>
      </c>
    </row>
    <row r="533" spans="1:16" hidden="1" x14ac:dyDescent="0.25">
      <c r="A533">
        <v>14092</v>
      </c>
      <c r="B533" t="s">
        <v>35</v>
      </c>
      <c r="C533" t="s">
        <v>34</v>
      </c>
      <c r="D533" s="2">
        <v>30000</v>
      </c>
      <c r="E533">
        <v>0</v>
      </c>
      <c r="F533" t="s">
        <v>29</v>
      </c>
      <c r="G533" t="s">
        <v>20</v>
      </c>
      <c r="H533" t="s">
        <v>15</v>
      </c>
      <c r="I533">
        <v>2</v>
      </c>
      <c r="J533" t="s">
        <v>23</v>
      </c>
      <c r="K533" t="s">
        <v>32</v>
      </c>
      <c r="L533">
        <v>28</v>
      </c>
      <c r="M533" t="str" cm="1">
        <f t="array" ref="M533">_xlfn.IFS(
L533&gt;50,"Old Age",
L533&gt;=31,"Middle Age",
L533&lt;31,"Young Age"
)</f>
        <v>Young Age</v>
      </c>
      <c r="N533" t="s">
        <v>18</v>
      </c>
      <c r="O533" t="str" cm="1">
        <f t="array" ref="O533">_xlfn.IFS(D533&gt;120000, "High Income", D533&gt;=80000, "Average Income", D533&lt;80000, "Low Income")</f>
        <v>Low Income</v>
      </c>
      <c r="P533">
        <f>IF(Table24[[#This Row],[Purchased Bike]]="Yes",1,0)</f>
        <v>0</v>
      </c>
    </row>
    <row r="534" spans="1:16" x14ac:dyDescent="0.25">
      <c r="A534">
        <v>29143</v>
      </c>
      <c r="B534" t="s">
        <v>35</v>
      </c>
      <c r="C534" t="s">
        <v>33</v>
      </c>
      <c r="D534" s="2">
        <v>60000</v>
      </c>
      <c r="E534">
        <v>1</v>
      </c>
      <c r="F534" t="s">
        <v>13</v>
      </c>
      <c r="G534" t="s">
        <v>21</v>
      </c>
      <c r="H534" t="s">
        <v>18</v>
      </c>
      <c r="I534">
        <v>1</v>
      </c>
      <c r="J534" t="s">
        <v>16</v>
      </c>
      <c r="K534" t="s">
        <v>32</v>
      </c>
      <c r="L534">
        <v>44</v>
      </c>
      <c r="M534" t="str" cm="1">
        <f t="array" ref="M534">_xlfn.IFS(
L534&gt;50,"Old Age",
L534&gt;=31,"Middle Age",
L534&lt;31,"Young Age"
)</f>
        <v>Middle Age</v>
      </c>
      <c r="N534" t="s">
        <v>15</v>
      </c>
      <c r="O534" t="str" cm="1">
        <f t="array" ref="O534">_xlfn.IFS(D534&gt;120000, "High Income", D534&gt;=80000, "Average Income", D534&lt;80000, "Low Income")</f>
        <v>Low Income</v>
      </c>
      <c r="P534">
        <f>IF(Table24[[#This Row],[Purchased Bike]]="Yes",1,0)</f>
        <v>1</v>
      </c>
    </row>
    <row r="535" spans="1:16" hidden="1" x14ac:dyDescent="0.25">
      <c r="A535">
        <v>24941</v>
      </c>
      <c r="B535" t="s">
        <v>34</v>
      </c>
      <c r="C535" t="s">
        <v>34</v>
      </c>
      <c r="D535" s="2">
        <v>60000</v>
      </c>
      <c r="E535">
        <v>3</v>
      </c>
      <c r="F535" t="s">
        <v>13</v>
      </c>
      <c r="G535" t="s">
        <v>28</v>
      </c>
      <c r="H535" t="s">
        <v>15</v>
      </c>
      <c r="I535">
        <v>2</v>
      </c>
      <c r="J535" t="s">
        <v>30</v>
      </c>
      <c r="K535" t="s">
        <v>32</v>
      </c>
      <c r="L535">
        <v>66</v>
      </c>
      <c r="M535" t="str" cm="1">
        <f t="array" ref="M535">_xlfn.IFS(
L535&gt;50,"Old Age",
L535&gt;=31,"Middle Age",
L535&lt;31,"Young Age"
)</f>
        <v>Old Age</v>
      </c>
      <c r="N535" t="s">
        <v>18</v>
      </c>
      <c r="O535" t="str" cm="1">
        <f t="array" ref="O535">_xlfn.IFS(D535&gt;120000, "High Income", D535&gt;=80000, "Average Income", D535&lt;80000, "Low Income")</f>
        <v>Low Income</v>
      </c>
      <c r="P535">
        <f>IF(Table24[[#This Row],[Purchased Bike]]="Yes",1,0)</f>
        <v>0</v>
      </c>
    </row>
    <row r="536" spans="1:16" hidden="1" x14ac:dyDescent="0.25">
      <c r="A536">
        <v>24637</v>
      </c>
      <c r="B536" t="s">
        <v>34</v>
      </c>
      <c r="C536" t="s">
        <v>34</v>
      </c>
      <c r="D536" s="2">
        <v>40000</v>
      </c>
      <c r="E536">
        <v>4</v>
      </c>
      <c r="F536" t="s">
        <v>27</v>
      </c>
      <c r="G536" t="s">
        <v>21</v>
      </c>
      <c r="H536" t="s">
        <v>15</v>
      </c>
      <c r="I536">
        <v>2</v>
      </c>
      <c r="J536" t="s">
        <v>30</v>
      </c>
      <c r="K536" t="s">
        <v>32</v>
      </c>
      <c r="L536">
        <v>64</v>
      </c>
      <c r="M536" t="str" cm="1">
        <f t="array" ref="M536">_xlfn.IFS(
L536&gt;50,"Old Age",
L536&gt;=31,"Middle Age",
L536&lt;31,"Young Age"
)</f>
        <v>Old Age</v>
      </c>
      <c r="N536" t="s">
        <v>18</v>
      </c>
      <c r="O536" t="str" cm="1">
        <f t="array" ref="O536">_xlfn.IFS(D536&gt;120000, "High Income", D536&gt;=80000, "Average Income", D536&lt;80000, "Low Income")</f>
        <v>Low Income</v>
      </c>
      <c r="P536">
        <f>IF(Table24[[#This Row],[Purchased Bike]]="Yes",1,0)</f>
        <v>0</v>
      </c>
    </row>
    <row r="537" spans="1:16" hidden="1" x14ac:dyDescent="0.25">
      <c r="A537">
        <v>23893</v>
      </c>
      <c r="B537" t="s">
        <v>34</v>
      </c>
      <c r="C537" t="s">
        <v>34</v>
      </c>
      <c r="D537" s="2">
        <v>50000</v>
      </c>
      <c r="E537">
        <v>3</v>
      </c>
      <c r="F537" t="s">
        <v>13</v>
      </c>
      <c r="G537" t="s">
        <v>14</v>
      </c>
      <c r="H537" t="s">
        <v>15</v>
      </c>
      <c r="I537">
        <v>3</v>
      </c>
      <c r="J537" t="s">
        <v>30</v>
      </c>
      <c r="K537" t="s">
        <v>32</v>
      </c>
      <c r="L537">
        <v>41</v>
      </c>
      <c r="M537" t="str" cm="1">
        <f t="array" ref="M537">_xlfn.IFS(
L537&gt;50,"Old Age",
L537&gt;=31,"Middle Age",
L537&lt;31,"Young Age"
)</f>
        <v>Middle Age</v>
      </c>
      <c r="N537" t="s">
        <v>18</v>
      </c>
      <c r="O537" t="str" cm="1">
        <f t="array" ref="O537">_xlfn.IFS(D537&gt;120000, "High Income", D537&gt;=80000, "Average Income", D537&lt;80000, "Low Income")</f>
        <v>Low Income</v>
      </c>
      <c r="P537">
        <f>IF(Table24[[#This Row],[Purchased Bike]]="Yes",1,0)</f>
        <v>0</v>
      </c>
    </row>
    <row r="538" spans="1:16" x14ac:dyDescent="0.25">
      <c r="A538">
        <v>13907</v>
      </c>
      <c r="B538" t="s">
        <v>35</v>
      </c>
      <c r="C538" t="s">
        <v>33</v>
      </c>
      <c r="D538" s="2">
        <v>80000</v>
      </c>
      <c r="E538">
        <v>3</v>
      </c>
      <c r="F538" t="s">
        <v>13</v>
      </c>
      <c r="G538" t="s">
        <v>14</v>
      </c>
      <c r="H538" t="s">
        <v>15</v>
      </c>
      <c r="I538">
        <v>1</v>
      </c>
      <c r="J538" t="s">
        <v>16</v>
      </c>
      <c r="K538" t="s">
        <v>32</v>
      </c>
      <c r="L538">
        <v>41</v>
      </c>
      <c r="M538" t="str" cm="1">
        <f t="array" ref="M538">_xlfn.IFS(
L538&gt;50,"Old Age",
L538&gt;=31,"Middle Age",
L538&lt;31,"Young Age"
)</f>
        <v>Middle Age</v>
      </c>
      <c r="N538" t="s">
        <v>15</v>
      </c>
      <c r="O538" t="str" cm="1">
        <f t="array" ref="O538">_xlfn.IFS(D538&gt;120000, "High Income", D538&gt;=80000, "Average Income", D538&lt;80000, "Low Income")</f>
        <v>Average Income</v>
      </c>
      <c r="P538">
        <f>IF(Table24[[#This Row],[Purchased Bike]]="Yes",1,0)</f>
        <v>1</v>
      </c>
    </row>
    <row r="539" spans="1:16" x14ac:dyDescent="0.25">
      <c r="A539">
        <v>14900</v>
      </c>
      <c r="B539" t="s">
        <v>34</v>
      </c>
      <c r="C539" t="s">
        <v>33</v>
      </c>
      <c r="D539" s="2">
        <v>40000</v>
      </c>
      <c r="E539">
        <v>1</v>
      </c>
      <c r="F539" t="s">
        <v>19</v>
      </c>
      <c r="G539" t="s">
        <v>20</v>
      </c>
      <c r="H539" t="s">
        <v>15</v>
      </c>
      <c r="I539">
        <v>1</v>
      </c>
      <c r="J539" t="s">
        <v>26</v>
      </c>
      <c r="K539" t="s">
        <v>32</v>
      </c>
      <c r="L539">
        <v>49</v>
      </c>
      <c r="M539" t="str" cm="1">
        <f t="array" ref="M539">_xlfn.IFS(
L539&gt;50,"Old Age",
L539&gt;=31,"Middle Age",
L539&lt;31,"Young Age"
)</f>
        <v>Middle Age</v>
      </c>
      <c r="N539" t="s">
        <v>15</v>
      </c>
      <c r="O539" t="str" cm="1">
        <f t="array" ref="O539">_xlfn.IFS(D539&gt;120000, "High Income", D539&gt;=80000, "Average Income", D539&lt;80000, "Low Income")</f>
        <v>Low Income</v>
      </c>
      <c r="P539">
        <f>IF(Table24[[#This Row],[Purchased Bike]]="Yes",1,0)</f>
        <v>1</v>
      </c>
    </row>
    <row r="540" spans="1:16" hidden="1" x14ac:dyDescent="0.25">
      <c r="A540">
        <v>11262</v>
      </c>
      <c r="B540" t="s">
        <v>34</v>
      </c>
      <c r="C540" t="s">
        <v>33</v>
      </c>
      <c r="D540" s="2">
        <v>80000</v>
      </c>
      <c r="E540">
        <v>4</v>
      </c>
      <c r="F540" t="s">
        <v>13</v>
      </c>
      <c r="G540" t="s">
        <v>28</v>
      </c>
      <c r="H540" t="s">
        <v>15</v>
      </c>
      <c r="I540">
        <v>0</v>
      </c>
      <c r="J540" t="s">
        <v>16</v>
      </c>
      <c r="K540" t="s">
        <v>32</v>
      </c>
      <c r="L540">
        <v>42</v>
      </c>
      <c r="M540" t="str" cm="1">
        <f t="array" ref="M540">_xlfn.IFS(
L540&gt;50,"Old Age",
L540&gt;=31,"Middle Age",
L540&lt;31,"Young Age"
)</f>
        <v>Middle Age</v>
      </c>
      <c r="N540" t="s">
        <v>18</v>
      </c>
      <c r="O540" t="str" cm="1">
        <f t="array" ref="O540">_xlfn.IFS(D540&gt;120000, "High Income", D540&gt;=80000, "Average Income", D540&lt;80000, "Low Income")</f>
        <v>Average Income</v>
      </c>
      <c r="P540">
        <f>IF(Table24[[#This Row],[Purchased Bike]]="Yes",1,0)</f>
        <v>0</v>
      </c>
    </row>
    <row r="541" spans="1:16" x14ac:dyDescent="0.25">
      <c r="A541">
        <v>22294</v>
      </c>
      <c r="B541" t="s">
        <v>35</v>
      </c>
      <c r="C541" t="s">
        <v>33</v>
      </c>
      <c r="D541" s="2">
        <v>70000</v>
      </c>
      <c r="E541">
        <v>0</v>
      </c>
      <c r="F541" t="s">
        <v>13</v>
      </c>
      <c r="G541" t="s">
        <v>21</v>
      </c>
      <c r="H541" t="s">
        <v>18</v>
      </c>
      <c r="I541">
        <v>1</v>
      </c>
      <c r="J541" t="s">
        <v>22</v>
      </c>
      <c r="K541" t="s">
        <v>32</v>
      </c>
      <c r="L541">
        <v>37</v>
      </c>
      <c r="M541" t="str" cm="1">
        <f t="array" ref="M541">_xlfn.IFS(
L541&gt;50,"Old Age",
L541&gt;=31,"Middle Age",
L541&lt;31,"Young Age"
)</f>
        <v>Middle Age</v>
      </c>
      <c r="N541" t="s">
        <v>15</v>
      </c>
      <c r="O541" t="str" cm="1">
        <f t="array" ref="O541">_xlfn.IFS(D541&gt;120000, "High Income", D541&gt;=80000, "Average Income", D541&lt;80000, "Low Income")</f>
        <v>Low Income</v>
      </c>
      <c r="P541">
        <f>IF(Table24[[#This Row],[Purchased Bike]]="Yes",1,0)</f>
        <v>1</v>
      </c>
    </row>
    <row r="542" spans="1:16" hidden="1" x14ac:dyDescent="0.25">
      <c r="A542">
        <v>12195</v>
      </c>
      <c r="B542" t="s">
        <v>35</v>
      </c>
      <c r="C542" t="s">
        <v>33</v>
      </c>
      <c r="D542" s="2">
        <v>70000</v>
      </c>
      <c r="E542">
        <v>3</v>
      </c>
      <c r="F542" t="s">
        <v>31</v>
      </c>
      <c r="G542" t="s">
        <v>28</v>
      </c>
      <c r="H542" t="s">
        <v>15</v>
      </c>
      <c r="I542">
        <v>2</v>
      </c>
      <c r="J542" t="s">
        <v>26</v>
      </c>
      <c r="K542" t="s">
        <v>32</v>
      </c>
      <c r="L542">
        <v>52</v>
      </c>
      <c r="M542" t="str" cm="1">
        <f t="array" ref="M542">_xlfn.IFS(
L542&gt;50,"Old Age",
L542&gt;=31,"Middle Age",
L542&lt;31,"Young Age"
)</f>
        <v>Old Age</v>
      </c>
      <c r="N542" t="s">
        <v>18</v>
      </c>
      <c r="O542" t="str" cm="1">
        <f t="array" ref="O542">_xlfn.IFS(D542&gt;120000, "High Income", D542&gt;=80000, "Average Income", D542&lt;80000, "Low Income")</f>
        <v>Low Income</v>
      </c>
      <c r="P542">
        <f>IF(Table24[[#This Row],[Purchased Bike]]="Yes",1,0)</f>
        <v>0</v>
      </c>
    </row>
    <row r="543" spans="1:16" hidden="1" x14ac:dyDescent="0.25">
      <c r="A543">
        <v>25375</v>
      </c>
      <c r="B543" t="s">
        <v>34</v>
      </c>
      <c r="C543" t="s">
        <v>34</v>
      </c>
      <c r="D543" s="2">
        <v>50000</v>
      </c>
      <c r="E543">
        <v>1</v>
      </c>
      <c r="F543" t="s">
        <v>31</v>
      </c>
      <c r="G543" t="s">
        <v>14</v>
      </c>
      <c r="H543" t="s">
        <v>15</v>
      </c>
      <c r="I543">
        <v>0</v>
      </c>
      <c r="J543" t="s">
        <v>26</v>
      </c>
      <c r="K543" t="s">
        <v>32</v>
      </c>
      <c r="L543">
        <v>34</v>
      </c>
      <c r="M543" t="str" cm="1">
        <f t="array" ref="M543">_xlfn.IFS(
L543&gt;50,"Old Age",
L543&gt;=31,"Middle Age",
L543&lt;31,"Young Age"
)</f>
        <v>Middle Age</v>
      </c>
      <c r="N543" t="s">
        <v>18</v>
      </c>
      <c r="O543" t="str" cm="1">
        <f t="array" ref="O543">_xlfn.IFS(D543&gt;120000, "High Income", D543&gt;=80000, "Average Income", D543&lt;80000, "Low Income")</f>
        <v>Low Income</v>
      </c>
      <c r="P543">
        <f>IF(Table24[[#This Row],[Purchased Bike]]="Yes",1,0)</f>
        <v>0</v>
      </c>
    </row>
    <row r="544" spans="1:16" hidden="1" x14ac:dyDescent="0.25">
      <c r="A544">
        <v>11143</v>
      </c>
      <c r="B544" t="s">
        <v>34</v>
      </c>
      <c r="C544" t="s">
        <v>34</v>
      </c>
      <c r="D544" s="2">
        <v>40000</v>
      </c>
      <c r="E544">
        <v>0</v>
      </c>
      <c r="F544" t="s">
        <v>27</v>
      </c>
      <c r="G544" t="s">
        <v>14</v>
      </c>
      <c r="H544" t="s">
        <v>15</v>
      </c>
      <c r="I544">
        <v>2</v>
      </c>
      <c r="J544" t="s">
        <v>23</v>
      </c>
      <c r="K544" t="s">
        <v>32</v>
      </c>
      <c r="L544">
        <v>29</v>
      </c>
      <c r="M544" t="str" cm="1">
        <f t="array" ref="M544">_xlfn.IFS(
L544&gt;50,"Old Age",
L544&gt;=31,"Middle Age",
L544&lt;31,"Young Age"
)</f>
        <v>Young Age</v>
      </c>
      <c r="N544" t="s">
        <v>18</v>
      </c>
      <c r="O544" t="str" cm="1">
        <f t="array" ref="O544">_xlfn.IFS(D544&gt;120000, "High Income", D544&gt;=80000, "Average Income", D544&lt;80000, "Low Income")</f>
        <v>Low Income</v>
      </c>
      <c r="P544">
        <f>IF(Table24[[#This Row],[Purchased Bike]]="Yes",1,0)</f>
        <v>0</v>
      </c>
    </row>
    <row r="545" spans="1:16" hidden="1" x14ac:dyDescent="0.25">
      <c r="A545">
        <v>25898</v>
      </c>
      <c r="B545" t="s">
        <v>34</v>
      </c>
      <c r="C545" t="s">
        <v>33</v>
      </c>
      <c r="D545" s="2">
        <v>70000</v>
      </c>
      <c r="E545">
        <v>2</v>
      </c>
      <c r="F545" t="s">
        <v>27</v>
      </c>
      <c r="G545" t="s">
        <v>21</v>
      </c>
      <c r="H545" t="s">
        <v>15</v>
      </c>
      <c r="I545">
        <v>2</v>
      </c>
      <c r="J545" t="s">
        <v>22</v>
      </c>
      <c r="K545" t="s">
        <v>32</v>
      </c>
      <c r="L545">
        <v>53</v>
      </c>
      <c r="M545" t="str" cm="1">
        <f t="array" ref="M545">_xlfn.IFS(
L545&gt;50,"Old Age",
L545&gt;=31,"Middle Age",
L545&lt;31,"Young Age"
)</f>
        <v>Old Age</v>
      </c>
      <c r="N545" t="s">
        <v>18</v>
      </c>
      <c r="O545" t="str" cm="1">
        <f t="array" ref="O545">_xlfn.IFS(D545&gt;120000, "High Income", D545&gt;=80000, "Average Income", D545&lt;80000, "Low Income")</f>
        <v>Low Income</v>
      </c>
      <c r="P545">
        <f>IF(Table24[[#This Row],[Purchased Bike]]="Yes",1,0)</f>
        <v>0</v>
      </c>
    </row>
    <row r="546" spans="1:16" hidden="1" x14ac:dyDescent="0.25">
      <c r="A546">
        <v>24397</v>
      </c>
      <c r="B546" t="s">
        <v>35</v>
      </c>
      <c r="C546" t="s">
        <v>34</v>
      </c>
      <c r="D546" s="2">
        <v>120000</v>
      </c>
      <c r="E546">
        <v>2</v>
      </c>
      <c r="F546" t="s">
        <v>13</v>
      </c>
      <c r="G546" t="s">
        <v>28</v>
      </c>
      <c r="H546" t="s">
        <v>18</v>
      </c>
      <c r="I546">
        <v>4</v>
      </c>
      <c r="J546" t="s">
        <v>26</v>
      </c>
      <c r="K546" t="s">
        <v>32</v>
      </c>
      <c r="L546">
        <v>40</v>
      </c>
      <c r="M546" t="str" cm="1">
        <f t="array" ref="M546">_xlfn.IFS(
L546&gt;50,"Old Age",
L546&gt;=31,"Middle Age",
L546&lt;31,"Young Age"
)</f>
        <v>Middle Age</v>
      </c>
      <c r="N546" t="s">
        <v>18</v>
      </c>
      <c r="O546" t="str" cm="1">
        <f t="array" ref="O546">_xlfn.IFS(D546&gt;120000, "High Income", D546&gt;=80000, "Average Income", D546&lt;80000, "Low Income")</f>
        <v>Average Income</v>
      </c>
      <c r="P546">
        <f>IF(Table24[[#This Row],[Purchased Bike]]="Yes",1,0)</f>
        <v>0</v>
      </c>
    </row>
    <row r="547" spans="1:16" hidden="1" x14ac:dyDescent="0.25">
      <c r="A547">
        <v>19758</v>
      </c>
      <c r="B547" t="s">
        <v>35</v>
      </c>
      <c r="C547" t="s">
        <v>34</v>
      </c>
      <c r="D547" s="2">
        <v>60000</v>
      </c>
      <c r="E547">
        <v>0</v>
      </c>
      <c r="F547" t="s">
        <v>19</v>
      </c>
      <c r="G547" t="s">
        <v>14</v>
      </c>
      <c r="H547" t="s">
        <v>18</v>
      </c>
      <c r="I547">
        <v>2</v>
      </c>
      <c r="J547" t="s">
        <v>26</v>
      </c>
      <c r="K547" t="s">
        <v>32</v>
      </c>
      <c r="L547">
        <v>29</v>
      </c>
      <c r="M547" t="str" cm="1">
        <f t="array" ref="M547">_xlfn.IFS(
L547&gt;50,"Old Age",
L547&gt;=31,"Middle Age",
L547&lt;31,"Young Age"
)</f>
        <v>Young Age</v>
      </c>
      <c r="N547" t="s">
        <v>18</v>
      </c>
      <c r="O547" t="str" cm="1">
        <f t="array" ref="O547">_xlfn.IFS(D547&gt;120000, "High Income", D547&gt;=80000, "Average Income", D547&lt;80000, "Low Income")</f>
        <v>Low Income</v>
      </c>
      <c r="P547">
        <f>IF(Table24[[#This Row],[Purchased Bike]]="Yes",1,0)</f>
        <v>0</v>
      </c>
    </row>
    <row r="548" spans="1:16" x14ac:dyDescent="0.25">
      <c r="A548">
        <v>15529</v>
      </c>
      <c r="B548" t="s">
        <v>34</v>
      </c>
      <c r="C548" t="s">
        <v>34</v>
      </c>
      <c r="D548" s="2">
        <v>60000</v>
      </c>
      <c r="E548">
        <v>4</v>
      </c>
      <c r="F548" t="s">
        <v>13</v>
      </c>
      <c r="G548" t="s">
        <v>21</v>
      </c>
      <c r="H548" t="s">
        <v>15</v>
      </c>
      <c r="I548">
        <v>2</v>
      </c>
      <c r="J548" t="s">
        <v>22</v>
      </c>
      <c r="K548" t="s">
        <v>32</v>
      </c>
      <c r="L548">
        <v>43</v>
      </c>
      <c r="M548" t="str" cm="1">
        <f t="array" ref="M548">_xlfn.IFS(
L548&gt;50,"Old Age",
L548&gt;=31,"Middle Age",
L548&lt;31,"Young Age"
)</f>
        <v>Middle Age</v>
      </c>
      <c r="N548" t="s">
        <v>15</v>
      </c>
      <c r="O548" t="str" cm="1">
        <f t="array" ref="O548">_xlfn.IFS(D548&gt;120000, "High Income", D548&gt;=80000, "Average Income", D548&lt;80000, "Low Income")</f>
        <v>Low Income</v>
      </c>
      <c r="P548">
        <f>IF(Table24[[#This Row],[Purchased Bike]]="Yes",1,0)</f>
        <v>1</v>
      </c>
    </row>
    <row r="549" spans="1:16" hidden="1" x14ac:dyDescent="0.25">
      <c r="A549">
        <v>19884</v>
      </c>
      <c r="B549" t="s">
        <v>34</v>
      </c>
      <c r="C549" t="s">
        <v>34</v>
      </c>
      <c r="D549" s="2">
        <v>60000</v>
      </c>
      <c r="E549">
        <v>2</v>
      </c>
      <c r="F549" t="s">
        <v>27</v>
      </c>
      <c r="G549" t="s">
        <v>21</v>
      </c>
      <c r="H549" t="s">
        <v>15</v>
      </c>
      <c r="I549">
        <v>2</v>
      </c>
      <c r="J549" t="s">
        <v>22</v>
      </c>
      <c r="K549" t="s">
        <v>32</v>
      </c>
      <c r="L549">
        <v>55</v>
      </c>
      <c r="M549" t="str" cm="1">
        <f t="array" ref="M549">_xlfn.IFS(
L549&gt;50,"Old Age",
L549&gt;=31,"Middle Age",
L549&lt;31,"Young Age"
)</f>
        <v>Old Age</v>
      </c>
      <c r="N549" t="s">
        <v>15</v>
      </c>
      <c r="O549" t="str" cm="1">
        <f t="array" ref="O549">_xlfn.IFS(D549&gt;120000, "High Income", D549&gt;=80000, "Average Income", D549&lt;80000, "Low Income")</f>
        <v>Low Income</v>
      </c>
      <c r="P549">
        <f>IF(Table24[[#This Row],[Purchased Bike]]="Yes",1,0)</f>
        <v>1</v>
      </c>
    </row>
    <row r="550" spans="1:16" hidden="1" x14ac:dyDescent="0.25">
      <c r="A550">
        <v>18674</v>
      </c>
      <c r="B550" t="s">
        <v>35</v>
      </c>
      <c r="C550" t="s">
        <v>33</v>
      </c>
      <c r="D550" s="2">
        <v>80000</v>
      </c>
      <c r="E550">
        <v>4</v>
      </c>
      <c r="F550" t="s">
        <v>31</v>
      </c>
      <c r="G550" t="s">
        <v>14</v>
      </c>
      <c r="H550" t="s">
        <v>18</v>
      </c>
      <c r="I550">
        <v>0</v>
      </c>
      <c r="J550" t="s">
        <v>16</v>
      </c>
      <c r="K550" t="s">
        <v>32</v>
      </c>
      <c r="L550">
        <v>48</v>
      </c>
      <c r="M550" t="str" cm="1">
        <f t="array" ref="M550">_xlfn.IFS(
L550&gt;50,"Old Age",
L550&gt;=31,"Middle Age",
L550&lt;31,"Young Age"
)</f>
        <v>Middle Age</v>
      </c>
      <c r="N550" t="s">
        <v>18</v>
      </c>
      <c r="O550" t="str" cm="1">
        <f t="array" ref="O550">_xlfn.IFS(D550&gt;120000, "High Income", D550&gt;=80000, "Average Income", D550&lt;80000, "Low Income")</f>
        <v>Average Income</v>
      </c>
      <c r="P550">
        <f>IF(Table24[[#This Row],[Purchased Bike]]="Yes",1,0)</f>
        <v>0</v>
      </c>
    </row>
    <row r="551" spans="1:16" x14ac:dyDescent="0.25">
      <c r="A551">
        <v>13453</v>
      </c>
      <c r="B551" t="s">
        <v>34</v>
      </c>
      <c r="C551" t="s">
        <v>33</v>
      </c>
      <c r="D551" s="2">
        <v>130000</v>
      </c>
      <c r="E551">
        <v>3</v>
      </c>
      <c r="F551" t="s">
        <v>13</v>
      </c>
      <c r="G551" t="s">
        <v>28</v>
      </c>
      <c r="H551" t="s">
        <v>15</v>
      </c>
      <c r="I551">
        <v>3</v>
      </c>
      <c r="J551" t="s">
        <v>16</v>
      </c>
      <c r="K551" t="s">
        <v>32</v>
      </c>
      <c r="L551">
        <v>45</v>
      </c>
      <c r="M551" t="str" cm="1">
        <f t="array" ref="M551">_xlfn.IFS(
L551&gt;50,"Old Age",
L551&gt;=31,"Middle Age",
L551&lt;31,"Young Age"
)</f>
        <v>Middle Age</v>
      </c>
      <c r="N551" t="s">
        <v>15</v>
      </c>
      <c r="O551" t="str" cm="1">
        <f t="array" ref="O551">_xlfn.IFS(D551&gt;120000, "High Income", D551&gt;=80000, "Average Income", D551&lt;80000, "Low Income")</f>
        <v>High Income</v>
      </c>
      <c r="P551">
        <f>IF(Table24[[#This Row],[Purchased Bike]]="Yes",1,0)</f>
        <v>1</v>
      </c>
    </row>
    <row r="552" spans="1:16" x14ac:dyDescent="0.25">
      <c r="A552">
        <v>14063</v>
      </c>
      <c r="B552" t="s">
        <v>35</v>
      </c>
      <c r="C552" t="s">
        <v>33</v>
      </c>
      <c r="D552" s="2">
        <v>70000</v>
      </c>
      <c r="E552">
        <v>0</v>
      </c>
      <c r="F552" t="s">
        <v>13</v>
      </c>
      <c r="G552" t="s">
        <v>21</v>
      </c>
      <c r="H552" t="s">
        <v>18</v>
      </c>
      <c r="I552">
        <v>1</v>
      </c>
      <c r="J552" t="s">
        <v>16</v>
      </c>
      <c r="K552" t="s">
        <v>24</v>
      </c>
      <c r="L552">
        <v>42</v>
      </c>
      <c r="M552" t="str" cm="1">
        <f t="array" ref="M552">_xlfn.IFS(
L552&gt;50,"Old Age",
L552&gt;=31,"Middle Age",
L552&lt;31,"Young Age"
)</f>
        <v>Middle Age</v>
      </c>
      <c r="N552" t="s">
        <v>15</v>
      </c>
      <c r="O552" t="str" cm="1">
        <f t="array" ref="O552">_xlfn.IFS(D552&gt;120000, "High Income", D552&gt;=80000, "Average Income", D552&lt;80000, "Low Income")</f>
        <v>Low Income</v>
      </c>
      <c r="P552">
        <f>IF(Table24[[#This Row],[Purchased Bike]]="Yes",1,0)</f>
        <v>1</v>
      </c>
    </row>
    <row r="553" spans="1:16" hidden="1" x14ac:dyDescent="0.25">
      <c r="A553">
        <v>27393</v>
      </c>
      <c r="B553" t="s">
        <v>34</v>
      </c>
      <c r="C553" t="s">
        <v>33</v>
      </c>
      <c r="D553" s="2">
        <v>50000</v>
      </c>
      <c r="E553">
        <v>4</v>
      </c>
      <c r="F553" t="s">
        <v>13</v>
      </c>
      <c r="G553" t="s">
        <v>28</v>
      </c>
      <c r="H553" t="s">
        <v>15</v>
      </c>
      <c r="I553">
        <v>2</v>
      </c>
      <c r="J553" t="s">
        <v>30</v>
      </c>
      <c r="K553" t="s">
        <v>32</v>
      </c>
      <c r="L553">
        <v>63</v>
      </c>
      <c r="M553" t="str" cm="1">
        <f t="array" ref="M553">_xlfn.IFS(
L553&gt;50,"Old Age",
L553&gt;=31,"Middle Age",
L553&lt;31,"Young Age"
)</f>
        <v>Old Age</v>
      </c>
      <c r="N553" t="s">
        <v>18</v>
      </c>
      <c r="O553" t="str" cm="1">
        <f t="array" ref="O553">_xlfn.IFS(D553&gt;120000, "High Income", D553&gt;=80000, "Average Income", D553&lt;80000, "Low Income")</f>
        <v>Low Income</v>
      </c>
      <c r="P553">
        <f>IF(Table24[[#This Row],[Purchased Bike]]="Yes",1,0)</f>
        <v>0</v>
      </c>
    </row>
    <row r="554" spans="1:16" hidden="1" x14ac:dyDescent="0.25">
      <c r="A554">
        <v>14417</v>
      </c>
      <c r="B554" t="s">
        <v>35</v>
      </c>
      <c r="C554" t="s">
        <v>34</v>
      </c>
      <c r="D554" s="2">
        <v>60000</v>
      </c>
      <c r="E554">
        <v>3</v>
      </c>
      <c r="F554" t="s">
        <v>27</v>
      </c>
      <c r="G554" t="s">
        <v>21</v>
      </c>
      <c r="H554" t="s">
        <v>15</v>
      </c>
      <c r="I554">
        <v>2</v>
      </c>
      <c r="J554" t="s">
        <v>30</v>
      </c>
      <c r="K554" t="s">
        <v>32</v>
      </c>
      <c r="L554">
        <v>54</v>
      </c>
      <c r="M554" t="str" cm="1">
        <f t="array" ref="M554">_xlfn.IFS(
L554&gt;50,"Old Age",
L554&gt;=31,"Middle Age",
L554&lt;31,"Young Age"
)</f>
        <v>Old Age</v>
      </c>
      <c r="N554" t="s">
        <v>15</v>
      </c>
      <c r="O554" t="str" cm="1">
        <f t="array" ref="O554">_xlfn.IFS(D554&gt;120000, "High Income", D554&gt;=80000, "Average Income", D554&lt;80000, "Low Income")</f>
        <v>Low Income</v>
      </c>
      <c r="P554">
        <f>IF(Table24[[#This Row],[Purchased Bike]]="Yes",1,0)</f>
        <v>1</v>
      </c>
    </row>
    <row r="555" spans="1:16" hidden="1" x14ac:dyDescent="0.25">
      <c r="A555">
        <v>17533</v>
      </c>
      <c r="B555" t="s">
        <v>34</v>
      </c>
      <c r="C555" t="s">
        <v>34</v>
      </c>
      <c r="D555" s="2">
        <v>40000</v>
      </c>
      <c r="E555">
        <v>3</v>
      </c>
      <c r="F555" t="s">
        <v>19</v>
      </c>
      <c r="G555" t="s">
        <v>21</v>
      </c>
      <c r="H555" t="s">
        <v>18</v>
      </c>
      <c r="I555">
        <v>2</v>
      </c>
      <c r="J555" t="s">
        <v>23</v>
      </c>
      <c r="K555" t="s">
        <v>32</v>
      </c>
      <c r="L555">
        <v>73</v>
      </c>
      <c r="M555" t="str" cm="1">
        <f t="array" ref="M555">_xlfn.IFS(
L555&gt;50,"Old Age",
L555&gt;=31,"Middle Age",
L555&lt;31,"Young Age"
)</f>
        <v>Old Age</v>
      </c>
      <c r="N555" t="s">
        <v>15</v>
      </c>
      <c r="O555" t="str" cm="1">
        <f t="array" ref="O555">_xlfn.IFS(D555&gt;120000, "High Income", D555&gt;=80000, "Average Income", D555&lt;80000, "Low Income")</f>
        <v>Low Income</v>
      </c>
      <c r="P555">
        <f>IF(Table24[[#This Row],[Purchased Bike]]="Yes",1,0)</f>
        <v>1</v>
      </c>
    </row>
    <row r="556" spans="1:16" x14ac:dyDescent="0.25">
      <c r="A556">
        <v>18580</v>
      </c>
      <c r="B556" t="s">
        <v>34</v>
      </c>
      <c r="C556" t="s">
        <v>33</v>
      </c>
      <c r="D556" s="2">
        <v>60000</v>
      </c>
      <c r="E556">
        <v>2</v>
      </c>
      <c r="F556" t="s">
        <v>31</v>
      </c>
      <c r="G556" t="s">
        <v>21</v>
      </c>
      <c r="H556" t="s">
        <v>15</v>
      </c>
      <c r="I556">
        <v>0</v>
      </c>
      <c r="J556" t="s">
        <v>22</v>
      </c>
      <c r="K556" t="s">
        <v>32</v>
      </c>
      <c r="L556">
        <v>40</v>
      </c>
      <c r="M556" t="str" cm="1">
        <f t="array" ref="M556">_xlfn.IFS(
L556&gt;50,"Old Age",
L556&gt;=31,"Middle Age",
L556&lt;31,"Young Age"
)</f>
        <v>Middle Age</v>
      </c>
      <c r="N556" t="s">
        <v>15</v>
      </c>
      <c r="O556" t="str" cm="1">
        <f t="array" ref="O556">_xlfn.IFS(D556&gt;120000, "High Income", D556&gt;=80000, "Average Income", D556&lt;80000, "Low Income")</f>
        <v>Low Income</v>
      </c>
      <c r="P556">
        <f>IF(Table24[[#This Row],[Purchased Bike]]="Yes",1,0)</f>
        <v>1</v>
      </c>
    </row>
    <row r="557" spans="1:16" x14ac:dyDescent="0.25">
      <c r="A557">
        <v>17025</v>
      </c>
      <c r="B557" t="s">
        <v>35</v>
      </c>
      <c r="C557" t="s">
        <v>34</v>
      </c>
      <c r="D557" s="2">
        <v>50000</v>
      </c>
      <c r="E557">
        <v>0</v>
      </c>
      <c r="F557" t="s">
        <v>19</v>
      </c>
      <c r="G557" t="s">
        <v>14</v>
      </c>
      <c r="H557" t="s">
        <v>18</v>
      </c>
      <c r="I557">
        <v>1</v>
      </c>
      <c r="J557" t="s">
        <v>22</v>
      </c>
      <c r="K557" t="s">
        <v>32</v>
      </c>
      <c r="L557">
        <v>39</v>
      </c>
      <c r="M557" t="str" cm="1">
        <f t="array" ref="M557">_xlfn.IFS(
L557&gt;50,"Old Age",
L557&gt;=31,"Middle Age",
L557&lt;31,"Young Age"
)</f>
        <v>Middle Age</v>
      </c>
      <c r="N557" t="s">
        <v>15</v>
      </c>
      <c r="O557" t="str" cm="1">
        <f t="array" ref="O557">_xlfn.IFS(D557&gt;120000, "High Income", D557&gt;=80000, "Average Income", D557&lt;80000, "Low Income")</f>
        <v>Low Income</v>
      </c>
      <c r="P557">
        <f>IF(Table24[[#This Row],[Purchased Bike]]="Yes",1,0)</f>
        <v>1</v>
      </c>
    </row>
    <row r="558" spans="1:16" hidden="1" x14ac:dyDescent="0.25">
      <c r="A558">
        <v>25293</v>
      </c>
      <c r="B558" t="s">
        <v>34</v>
      </c>
      <c r="C558" t="s">
        <v>34</v>
      </c>
      <c r="D558" s="2">
        <v>80000</v>
      </c>
      <c r="E558">
        <v>4</v>
      </c>
      <c r="F558" t="s">
        <v>13</v>
      </c>
      <c r="G558" t="s">
        <v>28</v>
      </c>
      <c r="H558" t="s">
        <v>15</v>
      </c>
      <c r="I558">
        <v>0</v>
      </c>
      <c r="J558" t="s">
        <v>26</v>
      </c>
      <c r="K558" t="s">
        <v>32</v>
      </c>
      <c r="L558">
        <v>42</v>
      </c>
      <c r="M558" t="str" cm="1">
        <f t="array" ref="M558">_xlfn.IFS(
L558&gt;50,"Old Age",
L558&gt;=31,"Middle Age",
L558&lt;31,"Young Age"
)</f>
        <v>Middle Age</v>
      </c>
      <c r="N558" t="s">
        <v>18</v>
      </c>
      <c r="O558" t="str" cm="1">
        <f t="array" ref="O558">_xlfn.IFS(D558&gt;120000, "High Income", D558&gt;=80000, "Average Income", D558&lt;80000, "Low Income")</f>
        <v>Average Income</v>
      </c>
      <c r="P558">
        <f>IF(Table24[[#This Row],[Purchased Bike]]="Yes",1,0)</f>
        <v>0</v>
      </c>
    </row>
    <row r="559" spans="1:16" hidden="1" x14ac:dyDescent="0.25">
      <c r="A559">
        <v>24725</v>
      </c>
      <c r="B559" t="s">
        <v>34</v>
      </c>
      <c r="C559" t="s">
        <v>33</v>
      </c>
      <c r="D559" s="2">
        <v>40000</v>
      </c>
      <c r="E559">
        <v>3</v>
      </c>
      <c r="F559" t="s">
        <v>19</v>
      </c>
      <c r="G559" t="s">
        <v>20</v>
      </c>
      <c r="H559" t="s">
        <v>15</v>
      </c>
      <c r="I559">
        <v>0</v>
      </c>
      <c r="J559" t="s">
        <v>26</v>
      </c>
      <c r="K559" t="s">
        <v>32</v>
      </c>
      <c r="L559">
        <v>31</v>
      </c>
      <c r="M559" t="str" cm="1">
        <f t="array" ref="M559">_xlfn.IFS(
L559&gt;50,"Old Age",
L559&gt;=31,"Middle Age",
L559&lt;31,"Young Age"
)</f>
        <v>Middle Age</v>
      </c>
      <c r="N559" t="s">
        <v>18</v>
      </c>
      <c r="O559" t="str" cm="1">
        <f t="array" ref="O559">_xlfn.IFS(D559&gt;120000, "High Income", D559&gt;=80000, "Average Income", D559&lt;80000, "Low Income")</f>
        <v>Low Income</v>
      </c>
      <c r="P559">
        <f>IF(Table24[[#This Row],[Purchased Bike]]="Yes",1,0)</f>
        <v>0</v>
      </c>
    </row>
    <row r="560" spans="1:16" hidden="1" x14ac:dyDescent="0.25">
      <c r="A560">
        <v>23200</v>
      </c>
      <c r="B560" t="s">
        <v>34</v>
      </c>
      <c r="C560" t="s">
        <v>33</v>
      </c>
      <c r="D560" s="2">
        <v>50000</v>
      </c>
      <c r="E560">
        <v>3</v>
      </c>
      <c r="F560" t="s">
        <v>13</v>
      </c>
      <c r="G560" t="s">
        <v>14</v>
      </c>
      <c r="H560" t="s">
        <v>15</v>
      </c>
      <c r="I560">
        <v>2</v>
      </c>
      <c r="J560" t="s">
        <v>16</v>
      </c>
      <c r="K560" t="s">
        <v>32</v>
      </c>
      <c r="L560">
        <v>41</v>
      </c>
      <c r="M560" t="str" cm="1">
        <f t="array" ref="M560">_xlfn.IFS(
L560&gt;50,"Old Age",
L560&gt;=31,"Middle Age",
L560&lt;31,"Young Age"
)</f>
        <v>Middle Age</v>
      </c>
      <c r="N560" t="s">
        <v>18</v>
      </c>
      <c r="O560" t="str" cm="1">
        <f t="array" ref="O560">_xlfn.IFS(D560&gt;120000, "High Income", D560&gt;=80000, "Average Income", D560&lt;80000, "Low Income")</f>
        <v>Low Income</v>
      </c>
      <c r="P560">
        <f>IF(Table24[[#This Row],[Purchased Bike]]="Yes",1,0)</f>
        <v>0</v>
      </c>
    </row>
    <row r="561" spans="1:16" hidden="1" x14ac:dyDescent="0.25">
      <c r="A561">
        <v>15895</v>
      </c>
      <c r="B561" t="s">
        <v>35</v>
      </c>
      <c r="C561" t="s">
        <v>33</v>
      </c>
      <c r="D561" s="2">
        <v>60000</v>
      </c>
      <c r="E561">
        <v>2</v>
      </c>
      <c r="F561" t="s">
        <v>13</v>
      </c>
      <c r="G561" t="s">
        <v>28</v>
      </c>
      <c r="H561" t="s">
        <v>15</v>
      </c>
      <c r="I561">
        <v>0</v>
      </c>
      <c r="J561" t="s">
        <v>30</v>
      </c>
      <c r="K561" t="s">
        <v>32</v>
      </c>
      <c r="L561">
        <v>58</v>
      </c>
      <c r="M561" t="str" cm="1">
        <f t="array" ref="M561">_xlfn.IFS(
L561&gt;50,"Old Age",
L561&gt;=31,"Middle Age",
L561&lt;31,"Young Age"
)</f>
        <v>Old Age</v>
      </c>
      <c r="N561" t="s">
        <v>18</v>
      </c>
      <c r="O561" t="str" cm="1">
        <f t="array" ref="O561">_xlfn.IFS(D561&gt;120000, "High Income", D561&gt;=80000, "Average Income", D561&lt;80000, "Low Income")</f>
        <v>Low Income</v>
      </c>
      <c r="P561">
        <f>IF(Table24[[#This Row],[Purchased Bike]]="Yes",1,0)</f>
        <v>0</v>
      </c>
    </row>
    <row r="562" spans="1:16" hidden="1" x14ac:dyDescent="0.25">
      <c r="A562">
        <v>18577</v>
      </c>
      <c r="B562" t="s">
        <v>34</v>
      </c>
      <c r="C562" t="s">
        <v>33</v>
      </c>
      <c r="D562" s="2">
        <v>60000</v>
      </c>
      <c r="E562">
        <v>0</v>
      </c>
      <c r="F562" t="s">
        <v>31</v>
      </c>
      <c r="G562" t="s">
        <v>21</v>
      </c>
      <c r="H562" t="s">
        <v>15</v>
      </c>
      <c r="I562">
        <v>0</v>
      </c>
      <c r="J562" t="s">
        <v>16</v>
      </c>
      <c r="K562" t="s">
        <v>32</v>
      </c>
      <c r="L562">
        <v>40</v>
      </c>
      <c r="M562" t="str" cm="1">
        <f t="array" ref="M562">_xlfn.IFS(
L562&gt;50,"Old Age",
L562&gt;=31,"Middle Age",
L562&lt;31,"Young Age"
)</f>
        <v>Middle Age</v>
      </c>
      <c r="N562" t="s">
        <v>18</v>
      </c>
      <c r="O562" t="str" cm="1">
        <f t="array" ref="O562">_xlfn.IFS(D562&gt;120000, "High Income", D562&gt;=80000, "Average Income", D562&lt;80000, "Low Income")</f>
        <v>Low Income</v>
      </c>
      <c r="P562">
        <f>IF(Table24[[#This Row],[Purchased Bike]]="Yes",1,0)</f>
        <v>0</v>
      </c>
    </row>
    <row r="563" spans="1:16" hidden="1" x14ac:dyDescent="0.25">
      <c r="A563">
        <v>27218</v>
      </c>
      <c r="B563" t="s">
        <v>34</v>
      </c>
      <c r="C563" t="s">
        <v>33</v>
      </c>
      <c r="D563" s="2">
        <v>20000</v>
      </c>
      <c r="E563">
        <v>2</v>
      </c>
      <c r="F563" t="s">
        <v>29</v>
      </c>
      <c r="G563" t="s">
        <v>20</v>
      </c>
      <c r="H563" t="s">
        <v>18</v>
      </c>
      <c r="I563">
        <v>0</v>
      </c>
      <c r="J563" t="s">
        <v>16</v>
      </c>
      <c r="K563" t="s">
        <v>32</v>
      </c>
      <c r="L563">
        <v>48</v>
      </c>
      <c r="M563" t="str" cm="1">
        <f t="array" ref="M563">_xlfn.IFS(
L563&gt;50,"Old Age",
L563&gt;=31,"Middle Age",
L563&lt;31,"Young Age"
)</f>
        <v>Middle Age</v>
      </c>
      <c r="N563" t="s">
        <v>18</v>
      </c>
      <c r="O563" t="str" cm="1">
        <f t="array" ref="O563">_xlfn.IFS(D563&gt;120000, "High Income", D563&gt;=80000, "Average Income", D563&lt;80000, "Low Income")</f>
        <v>Low Income</v>
      </c>
      <c r="P563">
        <f>IF(Table24[[#This Row],[Purchased Bike]]="Yes",1,0)</f>
        <v>0</v>
      </c>
    </row>
    <row r="564" spans="1:16" x14ac:dyDescent="0.25">
      <c r="A564">
        <v>18560</v>
      </c>
      <c r="B564" t="s">
        <v>34</v>
      </c>
      <c r="C564" t="s">
        <v>33</v>
      </c>
      <c r="D564" s="2">
        <v>70000</v>
      </c>
      <c r="E564">
        <v>2</v>
      </c>
      <c r="F564" t="s">
        <v>31</v>
      </c>
      <c r="G564" t="s">
        <v>21</v>
      </c>
      <c r="H564" t="s">
        <v>15</v>
      </c>
      <c r="I564">
        <v>0</v>
      </c>
      <c r="J564" t="s">
        <v>22</v>
      </c>
      <c r="K564" t="s">
        <v>32</v>
      </c>
      <c r="L564">
        <v>34</v>
      </c>
      <c r="M564" t="str" cm="1">
        <f t="array" ref="M564">_xlfn.IFS(
L564&gt;50,"Old Age",
L564&gt;=31,"Middle Age",
L564&lt;31,"Young Age"
)</f>
        <v>Middle Age</v>
      </c>
      <c r="N564" t="s">
        <v>15</v>
      </c>
      <c r="O564" t="str" cm="1">
        <f t="array" ref="O564">_xlfn.IFS(D564&gt;120000, "High Income", D564&gt;=80000, "Average Income", D564&lt;80000, "Low Income")</f>
        <v>Low Income</v>
      </c>
      <c r="P564">
        <f>IF(Table24[[#This Row],[Purchased Bike]]="Yes",1,0)</f>
        <v>1</v>
      </c>
    </row>
    <row r="565" spans="1:16" hidden="1" x14ac:dyDescent="0.25">
      <c r="A565">
        <v>25006</v>
      </c>
      <c r="B565" t="s">
        <v>35</v>
      </c>
      <c r="C565" t="s">
        <v>33</v>
      </c>
      <c r="D565" s="2">
        <v>30000</v>
      </c>
      <c r="E565">
        <v>0</v>
      </c>
      <c r="F565" t="s">
        <v>19</v>
      </c>
      <c r="G565" t="s">
        <v>14</v>
      </c>
      <c r="H565" t="s">
        <v>15</v>
      </c>
      <c r="I565">
        <v>1</v>
      </c>
      <c r="J565" t="s">
        <v>23</v>
      </c>
      <c r="K565" t="s">
        <v>32</v>
      </c>
      <c r="L565">
        <v>28</v>
      </c>
      <c r="M565" t="str" cm="1">
        <f t="array" ref="M565">_xlfn.IFS(
L565&gt;50,"Old Age",
L565&gt;=31,"Middle Age",
L565&lt;31,"Young Age"
)</f>
        <v>Young Age</v>
      </c>
      <c r="N565" t="s">
        <v>18</v>
      </c>
      <c r="O565" t="str" cm="1">
        <f t="array" ref="O565">_xlfn.IFS(D565&gt;120000, "High Income", D565&gt;=80000, "Average Income", D565&lt;80000, "Low Income")</f>
        <v>Low Income</v>
      </c>
      <c r="P565">
        <f>IF(Table24[[#This Row],[Purchased Bike]]="Yes",1,0)</f>
        <v>0</v>
      </c>
    </row>
    <row r="566" spans="1:16" hidden="1" x14ac:dyDescent="0.25">
      <c r="A566">
        <v>17369</v>
      </c>
      <c r="B566" t="s">
        <v>35</v>
      </c>
      <c r="C566" t="s">
        <v>34</v>
      </c>
      <c r="D566" s="2">
        <v>30000</v>
      </c>
      <c r="E566">
        <v>0</v>
      </c>
      <c r="F566" t="s">
        <v>19</v>
      </c>
      <c r="G566" t="s">
        <v>14</v>
      </c>
      <c r="H566" t="s">
        <v>15</v>
      </c>
      <c r="I566">
        <v>1</v>
      </c>
      <c r="J566" t="s">
        <v>23</v>
      </c>
      <c r="K566" t="s">
        <v>32</v>
      </c>
      <c r="L566">
        <v>27</v>
      </c>
      <c r="M566" t="str" cm="1">
        <f t="array" ref="M566">_xlfn.IFS(
L566&gt;50,"Old Age",
L566&gt;=31,"Middle Age",
L566&lt;31,"Young Age"
)</f>
        <v>Young Age</v>
      </c>
      <c r="N566" t="s">
        <v>18</v>
      </c>
      <c r="O566" t="str" cm="1">
        <f t="array" ref="O566">_xlfn.IFS(D566&gt;120000, "High Income", D566&gt;=80000, "Average Income", D566&lt;80000, "Low Income")</f>
        <v>Low Income</v>
      </c>
      <c r="P566">
        <f>IF(Table24[[#This Row],[Purchased Bike]]="Yes",1,0)</f>
        <v>0</v>
      </c>
    </row>
    <row r="567" spans="1:16" hidden="1" x14ac:dyDescent="0.25">
      <c r="A567">
        <v>14495</v>
      </c>
      <c r="B567" t="s">
        <v>34</v>
      </c>
      <c r="C567" t="s">
        <v>34</v>
      </c>
      <c r="D567" s="2">
        <v>40000</v>
      </c>
      <c r="E567">
        <v>3</v>
      </c>
      <c r="F567" t="s">
        <v>19</v>
      </c>
      <c r="G567" t="s">
        <v>21</v>
      </c>
      <c r="H567" t="s">
        <v>18</v>
      </c>
      <c r="I567">
        <v>2</v>
      </c>
      <c r="J567" t="s">
        <v>23</v>
      </c>
      <c r="K567" t="s">
        <v>32</v>
      </c>
      <c r="L567">
        <v>54</v>
      </c>
      <c r="M567" t="str" cm="1">
        <f t="array" ref="M567">_xlfn.IFS(
L567&gt;50,"Old Age",
L567&gt;=31,"Middle Age",
L567&lt;31,"Young Age"
)</f>
        <v>Old Age</v>
      </c>
      <c r="N567" t="s">
        <v>15</v>
      </c>
      <c r="O567" t="str" cm="1">
        <f t="array" ref="O567">_xlfn.IFS(D567&gt;120000, "High Income", D567&gt;=80000, "Average Income", D567&lt;80000, "Low Income")</f>
        <v>Low Income</v>
      </c>
      <c r="P567">
        <f>IF(Table24[[#This Row],[Purchased Bike]]="Yes",1,0)</f>
        <v>1</v>
      </c>
    </row>
    <row r="568" spans="1:16" hidden="1" x14ac:dyDescent="0.25">
      <c r="A568">
        <v>18847</v>
      </c>
      <c r="B568" t="s">
        <v>34</v>
      </c>
      <c r="C568" t="s">
        <v>33</v>
      </c>
      <c r="D568" s="2">
        <v>60000</v>
      </c>
      <c r="E568">
        <v>2</v>
      </c>
      <c r="F568" t="s">
        <v>31</v>
      </c>
      <c r="G568" t="s">
        <v>28</v>
      </c>
      <c r="H568" t="s">
        <v>15</v>
      </c>
      <c r="I568">
        <v>2</v>
      </c>
      <c r="J568" t="s">
        <v>23</v>
      </c>
      <c r="K568" t="s">
        <v>32</v>
      </c>
      <c r="L568">
        <v>70</v>
      </c>
      <c r="M568" t="str" cm="1">
        <f t="array" ref="M568">_xlfn.IFS(
L568&gt;50,"Old Age",
L568&gt;=31,"Middle Age",
L568&lt;31,"Young Age"
)</f>
        <v>Old Age</v>
      </c>
      <c r="N568" t="s">
        <v>18</v>
      </c>
      <c r="O568" t="str" cm="1">
        <f t="array" ref="O568">_xlfn.IFS(D568&gt;120000, "High Income", D568&gt;=80000, "Average Income", D568&lt;80000, "Low Income")</f>
        <v>Low Income</v>
      </c>
      <c r="P568">
        <f>IF(Table24[[#This Row],[Purchased Bike]]="Yes",1,0)</f>
        <v>0</v>
      </c>
    </row>
    <row r="569" spans="1:16" x14ac:dyDescent="0.25">
      <c r="A569">
        <v>14754</v>
      </c>
      <c r="B569" t="s">
        <v>34</v>
      </c>
      <c r="C569" t="s">
        <v>34</v>
      </c>
      <c r="D569" s="2">
        <v>40000</v>
      </c>
      <c r="E569">
        <v>1</v>
      </c>
      <c r="F569" t="s">
        <v>19</v>
      </c>
      <c r="G569" t="s">
        <v>20</v>
      </c>
      <c r="H569" t="s">
        <v>15</v>
      </c>
      <c r="I569">
        <v>1</v>
      </c>
      <c r="J569" t="s">
        <v>26</v>
      </c>
      <c r="K569" t="s">
        <v>32</v>
      </c>
      <c r="L569">
        <v>48</v>
      </c>
      <c r="M569" t="str" cm="1">
        <f t="array" ref="M569">_xlfn.IFS(
L569&gt;50,"Old Age",
L569&gt;=31,"Middle Age",
L569&lt;31,"Young Age"
)</f>
        <v>Middle Age</v>
      </c>
      <c r="N569" t="s">
        <v>15</v>
      </c>
      <c r="O569" t="str" cm="1">
        <f t="array" ref="O569">_xlfn.IFS(D569&gt;120000, "High Income", D569&gt;=80000, "Average Income", D569&lt;80000, "Low Income")</f>
        <v>Low Income</v>
      </c>
      <c r="P569">
        <f>IF(Table24[[#This Row],[Purchased Bike]]="Yes",1,0)</f>
        <v>1</v>
      </c>
    </row>
    <row r="570" spans="1:16" x14ac:dyDescent="0.25">
      <c r="A570">
        <v>23378</v>
      </c>
      <c r="B570" t="s">
        <v>34</v>
      </c>
      <c r="C570" t="s">
        <v>34</v>
      </c>
      <c r="D570" s="2">
        <v>70000</v>
      </c>
      <c r="E570">
        <v>1</v>
      </c>
      <c r="F570" t="s">
        <v>19</v>
      </c>
      <c r="G570" t="s">
        <v>14</v>
      </c>
      <c r="H570" t="s">
        <v>15</v>
      </c>
      <c r="I570">
        <v>1</v>
      </c>
      <c r="J570" t="s">
        <v>22</v>
      </c>
      <c r="K570" t="s">
        <v>32</v>
      </c>
      <c r="L570">
        <v>44</v>
      </c>
      <c r="M570" t="str" cm="1">
        <f t="array" ref="M570">_xlfn.IFS(
L570&gt;50,"Old Age",
L570&gt;=31,"Middle Age",
L570&lt;31,"Young Age"
)</f>
        <v>Middle Age</v>
      </c>
      <c r="N570" t="s">
        <v>15</v>
      </c>
      <c r="O570" t="str" cm="1">
        <f t="array" ref="O570">_xlfn.IFS(D570&gt;120000, "High Income", D570&gt;=80000, "Average Income", D570&lt;80000, "Low Income")</f>
        <v>Low Income</v>
      </c>
      <c r="P570">
        <f>IF(Table24[[#This Row],[Purchased Bike]]="Yes",1,0)</f>
        <v>1</v>
      </c>
    </row>
    <row r="571" spans="1:16" hidden="1" x14ac:dyDescent="0.25">
      <c r="A571">
        <v>26452</v>
      </c>
      <c r="B571" t="s">
        <v>35</v>
      </c>
      <c r="C571" t="s">
        <v>34</v>
      </c>
      <c r="D571" s="2">
        <v>50000</v>
      </c>
      <c r="E571">
        <v>3</v>
      </c>
      <c r="F571" t="s">
        <v>31</v>
      </c>
      <c r="G571" t="s">
        <v>28</v>
      </c>
      <c r="H571" t="s">
        <v>15</v>
      </c>
      <c r="I571">
        <v>2</v>
      </c>
      <c r="J571" t="s">
        <v>30</v>
      </c>
      <c r="K571" t="s">
        <v>32</v>
      </c>
      <c r="L571">
        <v>69</v>
      </c>
      <c r="M571" t="str" cm="1">
        <f t="array" ref="M571">_xlfn.IFS(
L571&gt;50,"Old Age",
L571&gt;=31,"Middle Age",
L571&lt;31,"Young Age"
)</f>
        <v>Old Age</v>
      </c>
      <c r="N571" t="s">
        <v>18</v>
      </c>
      <c r="O571" t="str" cm="1">
        <f t="array" ref="O571">_xlfn.IFS(D571&gt;120000, "High Income", D571&gt;=80000, "Average Income", D571&lt;80000, "Low Income")</f>
        <v>Low Income</v>
      </c>
      <c r="P571">
        <f>IF(Table24[[#This Row],[Purchased Bike]]="Yes",1,0)</f>
        <v>0</v>
      </c>
    </row>
    <row r="572" spans="1:16" hidden="1" x14ac:dyDescent="0.25">
      <c r="A572">
        <v>20370</v>
      </c>
      <c r="B572" t="s">
        <v>34</v>
      </c>
      <c r="C572" t="s">
        <v>34</v>
      </c>
      <c r="D572" s="2">
        <v>70000</v>
      </c>
      <c r="E572">
        <v>3</v>
      </c>
      <c r="F572" t="s">
        <v>29</v>
      </c>
      <c r="G572" t="s">
        <v>14</v>
      </c>
      <c r="H572" t="s">
        <v>15</v>
      </c>
      <c r="I572">
        <v>2</v>
      </c>
      <c r="J572" t="s">
        <v>23</v>
      </c>
      <c r="K572" t="s">
        <v>32</v>
      </c>
      <c r="L572">
        <v>52</v>
      </c>
      <c r="M572" t="str" cm="1">
        <f t="array" ref="M572">_xlfn.IFS(
L572&gt;50,"Old Age",
L572&gt;=31,"Middle Age",
L572&lt;31,"Young Age"
)</f>
        <v>Old Age</v>
      </c>
      <c r="N572" t="s">
        <v>18</v>
      </c>
      <c r="O572" t="str" cm="1">
        <f t="array" ref="O572">_xlfn.IFS(D572&gt;120000, "High Income", D572&gt;=80000, "Average Income", D572&lt;80000, "Low Income")</f>
        <v>Low Income</v>
      </c>
      <c r="P572">
        <f>IF(Table24[[#This Row],[Purchased Bike]]="Yes",1,0)</f>
        <v>0</v>
      </c>
    </row>
    <row r="573" spans="1:16" hidden="1" x14ac:dyDescent="0.25">
      <c r="A573">
        <v>20528</v>
      </c>
      <c r="B573" t="s">
        <v>34</v>
      </c>
      <c r="C573" t="s">
        <v>34</v>
      </c>
      <c r="D573" s="2">
        <v>40000</v>
      </c>
      <c r="E573">
        <v>2</v>
      </c>
      <c r="F573" t="s">
        <v>29</v>
      </c>
      <c r="G573" t="s">
        <v>14</v>
      </c>
      <c r="H573" t="s">
        <v>15</v>
      </c>
      <c r="I573">
        <v>2</v>
      </c>
      <c r="J573" t="s">
        <v>22</v>
      </c>
      <c r="K573" t="s">
        <v>32</v>
      </c>
      <c r="L573">
        <v>55</v>
      </c>
      <c r="M573" t="str" cm="1">
        <f t="array" ref="M573">_xlfn.IFS(
L573&gt;50,"Old Age",
L573&gt;=31,"Middle Age",
L573&lt;31,"Young Age"
)</f>
        <v>Old Age</v>
      </c>
      <c r="N573" t="s">
        <v>18</v>
      </c>
      <c r="O573" t="str" cm="1">
        <f t="array" ref="O573">_xlfn.IFS(D573&gt;120000, "High Income", D573&gt;=80000, "Average Income", D573&lt;80000, "Low Income")</f>
        <v>Low Income</v>
      </c>
      <c r="P573">
        <f>IF(Table24[[#This Row],[Purchased Bike]]="Yes",1,0)</f>
        <v>0</v>
      </c>
    </row>
    <row r="574" spans="1:16" hidden="1" x14ac:dyDescent="0.25">
      <c r="A574">
        <v>23549</v>
      </c>
      <c r="B574" t="s">
        <v>35</v>
      </c>
      <c r="C574" t="s">
        <v>34</v>
      </c>
      <c r="D574" s="2">
        <v>30000</v>
      </c>
      <c r="E574">
        <v>0</v>
      </c>
      <c r="F574" t="s">
        <v>27</v>
      </c>
      <c r="G574" t="s">
        <v>14</v>
      </c>
      <c r="H574" t="s">
        <v>15</v>
      </c>
      <c r="I574">
        <v>2</v>
      </c>
      <c r="J574" t="s">
        <v>23</v>
      </c>
      <c r="K574" t="s">
        <v>32</v>
      </c>
      <c r="L574">
        <v>30</v>
      </c>
      <c r="M574" t="str" cm="1">
        <f t="array" ref="M574">_xlfn.IFS(
L574&gt;50,"Old Age",
L574&gt;=31,"Middle Age",
L574&lt;31,"Young Age"
)</f>
        <v>Young Age</v>
      </c>
      <c r="N574" t="s">
        <v>18</v>
      </c>
      <c r="O574" t="str" cm="1">
        <f t="array" ref="O574">_xlfn.IFS(D574&gt;120000, "High Income", D574&gt;=80000, "Average Income", D574&lt;80000, "Low Income")</f>
        <v>Low Income</v>
      </c>
      <c r="P574">
        <f>IF(Table24[[#This Row],[Purchased Bike]]="Yes",1,0)</f>
        <v>0</v>
      </c>
    </row>
    <row r="575" spans="1:16" hidden="1" x14ac:dyDescent="0.25">
      <c r="A575">
        <v>21751</v>
      </c>
      <c r="B575" t="s">
        <v>34</v>
      </c>
      <c r="C575" t="s">
        <v>34</v>
      </c>
      <c r="D575" s="2">
        <v>60000</v>
      </c>
      <c r="E575">
        <v>3</v>
      </c>
      <c r="F575" t="s">
        <v>31</v>
      </c>
      <c r="G575" t="s">
        <v>28</v>
      </c>
      <c r="H575" t="s">
        <v>15</v>
      </c>
      <c r="I575">
        <v>2</v>
      </c>
      <c r="J575" t="s">
        <v>26</v>
      </c>
      <c r="K575" t="s">
        <v>32</v>
      </c>
      <c r="L575">
        <v>63</v>
      </c>
      <c r="M575" t="str" cm="1">
        <f t="array" ref="M575">_xlfn.IFS(
L575&gt;50,"Old Age",
L575&gt;=31,"Middle Age",
L575&lt;31,"Young Age"
)</f>
        <v>Old Age</v>
      </c>
      <c r="N575" t="s">
        <v>18</v>
      </c>
      <c r="O575" t="str" cm="1">
        <f t="array" ref="O575">_xlfn.IFS(D575&gt;120000, "High Income", D575&gt;=80000, "Average Income", D575&lt;80000, "Low Income")</f>
        <v>Low Income</v>
      </c>
      <c r="P575">
        <f>IF(Table24[[#This Row],[Purchased Bike]]="Yes",1,0)</f>
        <v>0</v>
      </c>
    </row>
    <row r="576" spans="1:16" x14ac:dyDescent="0.25">
      <c r="A576">
        <v>21266</v>
      </c>
      <c r="B576" t="s">
        <v>35</v>
      </c>
      <c r="C576" t="s">
        <v>33</v>
      </c>
      <c r="D576" s="2">
        <v>80000</v>
      </c>
      <c r="E576">
        <v>0</v>
      </c>
      <c r="F576" t="s">
        <v>13</v>
      </c>
      <c r="G576" t="s">
        <v>28</v>
      </c>
      <c r="H576" t="s">
        <v>15</v>
      </c>
      <c r="I576">
        <v>1</v>
      </c>
      <c r="J576" t="s">
        <v>26</v>
      </c>
      <c r="K576" t="s">
        <v>32</v>
      </c>
      <c r="L576">
        <v>34</v>
      </c>
      <c r="M576" t="str" cm="1">
        <f t="array" ref="M576">_xlfn.IFS(
L576&gt;50,"Old Age",
L576&gt;=31,"Middle Age",
L576&lt;31,"Young Age"
)</f>
        <v>Middle Age</v>
      </c>
      <c r="N576" t="s">
        <v>15</v>
      </c>
      <c r="O576" t="str" cm="1">
        <f t="array" ref="O576">_xlfn.IFS(D576&gt;120000, "High Income", D576&gt;=80000, "Average Income", D576&lt;80000, "Low Income")</f>
        <v>Average Income</v>
      </c>
      <c r="P576">
        <f>IF(Table24[[#This Row],[Purchased Bike]]="Yes",1,0)</f>
        <v>1</v>
      </c>
    </row>
    <row r="577" spans="1:16" hidden="1" x14ac:dyDescent="0.25">
      <c r="A577">
        <v>13388</v>
      </c>
      <c r="B577" t="s">
        <v>35</v>
      </c>
      <c r="C577" t="s">
        <v>34</v>
      </c>
      <c r="D577" s="2">
        <v>60000</v>
      </c>
      <c r="E577">
        <v>2</v>
      </c>
      <c r="F577" t="s">
        <v>19</v>
      </c>
      <c r="G577" t="s">
        <v>21</v>
      </c>
      <c r="H577" t="s">
        <v>15</v>
      </c>
      <c r="I577">
        <v>1</v>
      </c>
      <c r="J577" t="s">
        <v>30</v>
      </c>
      <c r="K577" t="s">
        <v>32</v>
      </c>
      <c r="L577">
        <v>56</v>
      </c>
      <c r="M577" t="str" cm="1">
        <f t="array" ref="M577">_xlfn.IFS(
L577&gt;50,"Old Age",
L577&gt;=31,"Middle Age",
L577&lt;31,"Young Age"
)</f>
        <v>Old Age</v>
      </c>
      <c r="N577" t="s">
        <v>18</v>
      </c>
      <c r="O577" t="str" cm="1">
        <f t="array" ref="O577">_xlfn.IFS(D577&gt;120000, "High Income", D577&gt;=80000, "Average Income", D577&lt;80000, "Low Income")</f>
        <v>Low Income</v>
      </c>
      <c r="P577">
        <f>IF(Table24[[#This Row],[Purchased Bike]]="Yes",1,0)</f>
        <v>0</v>
      </c>
    </row>
    <row r="578" spans="1:16" hidden="1" x14ac:dyDescent="0.25">
      <c r="A578">
        <v>18752</v>
      </c>
      <c r="B578" t="s">
        <v>35</v>
      </c>
      <c r="C578" t="s">
        <v>33</v>
      </c>
      <c r="D578" s="2">
        <v>40000</v>
      </c>
      <c r="E578">
        <v>0</v>
      </c>
      <c r="F578" t="s">
        <v>27</v>
      </c>
      <c r="G578" t="s">
        <v>14</v>
      </c>
      <c r="H578" t="s">
        <v>15</v>
      </c>
      <c r="I578">
        <v>1</v>
      </c>
      <c r="J578" t="s">
        <v>23</v>
      </c>
      <c r="K578" t="s">
        <v>32</v>
      </c>
      <c r="L578">
        <v>31</v>
      </c>
      <c r="M578" t="str" cm="1">
        <f t="array" ref="M578">_xlfn.IFS(
L578&gt;50,"Old Age",
L578&gt;=31,"Middle Age",
L578&lt;31,"Young Age"
)</f>
        <v>Middle Age</v>
      </c>
      <c r="N578" t="s">
        <v>18</v>
      </c>
      <c r="O578" t="str" cm="1">
        <f t="array" ref="O578">_xlfn.IFS(D578&gt;120000, "High Income", D578&gt;=80000, "Average Income", D578&lt;80000, "Low Income")</f>
        <v>Low Income</v>
      </c>
      <c r="P578">
        <f>IF(Table24[[#This Row],[Purchased Bike]]="Yes",1,0)</f>
        <v>0</v>
      </c>
    </row>
    <row r="579" spans="1:16" hidden="1" x14ac:dyDescent="0.25">
      <c r="A579">
        <v>16917</v>
      </c>
      <c r="B579" t="s">
        <v>34</v>
      </c>
      <c r="C579" t="s">
        <v>34</v>
      </c>
      <c r="D579" s="2">
        <v>120000</v>
      </c>
      <c r="E579">
        <v>1</v>
      </c>
      <c r="F579" t="s">
        <v>13</v>
      </c>
      <c r="G579" t="s">
        <v>28</v>
      </c>
      <c r="H579" t="s">
        <v>15</v>
      </c>
      <c r="I579">
        <v>4</v>
      </c>
      <c r="J579" t="s">
        <v>16</v>
      </c>
      <c r="K579" t="s">
        <v>32</v>
      </c>
      <c r="L579">
        <v>38</v>
      </c>
      <c r="M579" t="str" cm="1">
        <f t="array" ref="M579">_xlfn.IFS(
L579&gt;50,"Old Age",
L579&gt;=31,"Middle Age",
L579&lt;31,"Young Age"
)</f>
        <v>Middle Age</v>
      </c>
      <c r="N579" t="s">
        <v>18</v>
      </c>
      <c r="O579" t="str" cm="1">
        <f t="array" ref="O579">_xlfn.IFS(D579&gt;120000, "High Income", D579&gt;=80000, "Average Income", D579&lt;80000, "Low Income")</f>
        <v>Average Income</v>
      </c>
      <c r="P579">
        <f>IF(Table24[[#This Row],[Purchased Bike]]="Yes",1,0)</f>
        <v>0</v>
      </c>
    </row>
    <row r="580" spans="1:16" hidden="1" x14ac:dyDescent="0.25">
      <c r="A580">
        <v>15313</v>
      </c>
      <c r="B580" t="s">
        <v>34</v>
      </c>
      <c r="C580" t="s">
        <v>34</v>
      </c>
      <c r="D580" s="2">
        <v>60000</v>
      </c>
      <c r="E580">
        <v>4</v>
      </c>
      <c r="F580" t="s">
        <v>13</v>
      </c>
      <c r="G580" t="s">
        <v>28</v>
      </c>
      <c r="H580" t="s">
        <v>15</v>
      </c>
      <c r="I580">
        <v>2</v>
      </c>
      <c r="J580" t="s">
        <v>22</v>
      </c>
      <c r="K580" t="s">
        <v>32</v>
      </c>
      <c r="L580">
        <v>59</v>
      </c>
      <c r="M580" t="str" cm="1">
        <f t="array" ref="M580">_xlfn.IFS(
L580&gt;50,"Old Age",
L580&gt;=31,"Middle Age",
L580&lt;31,"Young Age"
)</f>
        <v>Old Age</v>
      </c>
      <c r="N580" t="s">
        <v>18</v>
      </c>
      <c r="O580" t="str" cm="1">
        <f t="array" ref="O580">_xlfn.IFS(D580&gt;120000, "High Income", D580&gt;=80000, "Average Income", D580&lt;80000, "Low Income")</f>
        <v>Low Income</v>
      </c>
      <c r="P580">
        <f>IF(Table24[[#This Row],[Purchased Bike]]="Yes",1,0)</f>
        <v>0</v>
      </c>
    </row>
    <row r="581" spans="1:16" hidden="1" x14ac:dyDescent="0.25">
      <c r="A581">
        <v>25329</v>
      </c>
      <c r="B581" t="s">
        <v>35</v>
      </c>
      <c r="C581" t="s">
        <v>33</v>
      </c>
      <c r="D581" s="2">
        <v>40000</v>
      </c>
      <c r="E581">
        <v>3</v>
      </c>
      <c r="F581" t="s">
        <v>19</v>
      </c>
      <c r="G581" t="s">
        <v>20</v>
      </c>
      <c r="H581" t="s">
        <v>18</v>
      </c>
      <c r="I581">
        <v>2</v>
      </c>
      <c r="J581" t="s">
        <v>16</v>
      </c>
      <c r="K581" t="s">
        <v>32</v>
      </c>
      <c r="L581">
        <v>32</v>
      </c>
      <c r="M581" t="str" cm="1">
        <f t="array" ref="M581">_xlfn.IFS(
L581&gt;50,"Old Age",
L581&gt;=31,"Middle Age",
L581&lt;31,"Young Age"
)</f>
        <v>Middle Age</v>
      </c>
      <c r="N581" t="s">
        <v>18</v>
      </c>
      <c r="O581" t="str" cm="1">
        <f t="array" ref="O581">_xlfn.IFS(D581&gt;120000, "High Income", D581&gt;=80000, "Average Income", D581&lt;80000, "Low Income")</f>
        <v>Low Income</v>
      </c>
      <c r="P581">
        <f>IF(Table24[[#This Row],[Purchased Bike]]="Yes",1,0)</f>
        <v>0</v>
      </c>
    </row>
    <row r="582" spans="1:16" hidden="1" x14ac:dyDescent="0.25">
      <c r="A582">
        <v>20380</v>
      </c>
      <c r="B582" t="s">
        <v>34</v>
      </c>
      <c r="C582" t="s">
        <v>33</v>
      </c>
      <c r="D582" s="2">
        <v>60000</v>
      </c>
      <c r="E582">
        <v>3</v>
      </c>
      <c r="F582" t="s">
        <v>31</v>
      </c>
      <c r="G582" t="s">
        <v>28</v>
      </c>
      <c r="H582" t="s">
        <v>15</v>
      </c>
      <c r="I582">
        <v>2</v>
      </c>
      <c r="J582" t="s">
        <v>30</v>
      </c>
      <c r="K582" t="s">
        <v>32</v>
      </c>
      <c r="L582">
        <v>69</v>
      </c>
      <c r="M582" t="str" cm="1">
        <f t="array" ref="M582">_xlfn.IFS(
L582&gt;50,"Old Age",
L582&gt;=31,"Middle Age",
L582&lt;31,"Young Age"
)</f>
        <v>Old Age</v>
      </c>
      <c r="N582" t="s">
        <v>18</v>
      </c>
      <c r="O582" t="str" cm="1">
        <f t="array" ref="O582">_xlfn.IFS(D582&gt;120000, "High Income", D582&gt;=80000, "Average Income", D582&lt;80000, "Low Income")</f>
        <v>Low Income</v>
      </c>
      <c r="P582">
        <f>IF(Table24[[#This Row],[Purchased Bike]]="Yes",1,0)</f>
        <v>0</v>
      </c>
    </row>
    <row r="583" spans="1:16" hidden="1" x14ac:dyDescent="0.25">
      <c r="A583">
        <v>23089</v>
      </c>
      <c r="B583" t="s">
        <v>34</v>
      </c>
      <c r="C583" t="s">
        <v>34</v>
      </c>
      <c r="D583" s="2">
        <v>40000</v>
      </c>
      <c r="E583">
        <v>0</v>
      </c>
      <c r="F583" t="s">
        <v>19</v>
      </c>
      <c r="G583" t="s">
        <v>14</v>
      </c>
      <c r="H583" t="s">
        <v>15</v>
      </c>
      <c r="I583">
        <v>1</v>
      </c>
      <c r="J583" t="s">
        <v>23</v>
      </c>
      <c r="K583" t="s">
        <v>32</v>
      </c>
      <c r="L583">
        <v>28</v>
      </c>
      <c r="M583" t="str" cm="1">
        <f t="array" ref="M583">_xlfn.IFS(
L583&gt;50,"Old Age",
L583&gt;=31,"Middle Age",
L583&lt;31,"Young Age"
)</f>
        <v>Young Age</v>
      </c>
      <c r="N583" t="s">
        <v>18</v>
      </c>
      <c r="O583" t="str" cm="1">
        <f t="array" ref="O583">_xlfn.IFS(D583&gt;120000, "High Income", D583&gt;=80000, "Average Income", D583&lt;80000, "Low Income")</f>
        <v>Low Income</v>
      </c>
      <c r="P583">
        <f>IF(Table24[[#This Row],[Purchased Bike]]="Yes",1,0)</f>
        <v>0</v>
      </c>
    </row>
    <row r="584" spans="1:16" hidden="1" x14ac:dyDescent="0.25">
      <c r="A584">
        <v>13749</v>
      </c>
      <c r="B584" t="s">
        <v>34</v>
      </c>
      <c r="C584" t="s">
        <v>34</v>
      </c>
      <c r="D584" s="2">
        <v>80000</v>
      </c>
      <c r="E584">
        <v>4</v>
      </c>
      <c r="F584" t="s">
        <v>31</v>
      </c>
      <c r="G584" t="s">
        <v>14</v>
      </c>
      <c r="H584" t="s">
        <v>15</v>
      </c>
      <c r="I584">
        <v>0</v>
      </c>
      <c r="J584" t="s">
        <v>26</v>
      </c>
      <c r="K584" t="s">
        <v>32</v>
      </c>
      <c r="L584">
        <v>47</v>
      </c>
      <c r="M584" t="str" cm="1">
        <f t="array" ref="M584">_xlfn.IFS(
L584&gt;50,"Old Age",
L584&gt;=31,"Middle Age",
L584&lt;31,"Young Age"
)</f>
        <v>Middle Age</v>
      </c>
      <c r="N584" t="s">
        <v>18</v>
      </c>
      <c r="O584" t="str" cm="1">
        <f t="array" ref="O584">_xlfn.IFS(D584&gt;120000, "High Income", D584&gt;=80000, "Average Income", D584&lt;80000, "Low Income")</f>
        <v>Average Income</v>
      </c>
      <c r="P584">
        <f>IF(Table24[[#This Row],[Purchased Bike]]="Yes",1,0)</f>
        <v>0</v>
      </c>
    </row>
    <row r="585" spans="1:16" hidden="1" x14ac:dyDescent="0.25">
      <c r="A585">
        <v>24943</v>
      </c>
      <c r="B585" t="s">
        <v>34</v>
      </c>
      <c r="C585" t="s">
        <v>34</v>
      </c>
      <c r="D585" s="2">
        <v>60000</v>
      </c>
      <c r="E585">
        <v>3</v>
      </c>
      <c r="F585" t="s">
        <v>13</v>
      </c>
      <c r="G585" t="s">
        <v>28</v>
      </c>
      <c r="H585" t="s">
        <v>15</v>
      </c>
      <c r="I585">
        <v>2</v>
      </c>
      <c r="J585" t="s">
        <v>30</v>
      </c>
      <c r="K585" t="s">
        <v>32</v>
      </c>
      <c r="L585">
        <v>66</v>
      </c>
      <c r="M585" t="str" cm="1">
        <f t="array" ref="M585">_xlfn.IFS(
L585&gt;50,"Old Age",
L585&gt;=31,"Middle Age",
L585&lt;31,"Young Age"
)</f>
        <v>Old Age</v>
      </c>
      <c r="N585" t="s">
        <v>18</v>
      </c>
      <c r="O585" t="str" cm="1">
        <f t="array" ref="O585">_xlfn.IFS(D585&gt;120000, "High Income", D585&gt;=80000, "Average Income", D585&lt;80000, "Low Income")</f>
        <v>Low Income</v>
      </c>
      <c r="P585">
        <f>IF(Table24[[#This Row],[Purchased Bike]]="Yes",1,0)</f>
        <v>0</v>
      </c>
    </row>
    <row r="586" spans="1:16" x14ac:dyDescent="0.25">
      <c r="A586">
        <v>28667</v>
      </c>
      <c r="B586" t="s">
        <v>35</v>
      </c>
      <c r="C586" t="s">
        <v>34</v>
      </c>
      <c r="D586" s="2">
        <v>70000</v>
      </c>
      <c r="E586">
        <v>2</v>
      </c>
      <c r="F586" t="s">
        <v>13</v>
      </c>
      <c r="G586" t="s">
        <v>14</v>
      </c>
      <c r="H586" t="s">
        <v>18</v>
      </c>
      <c r="I586">
        <v>1</v>
      </c>
      <c r="J586" t="s">
        <v>16</v>
      </c>
      <c r="K586" t="s">
        <v>32</v>
      </c>
      <c r="L586">
        <v>37</v>
      </c>
      <c r="M586" t="str" cm="1">
        <f t="array" ref="M586">_xlfn.IFS(
L586&gt;50,"Old Age",
L586&gt;=31,"Middle Age",
L586&lt;31,"Young Age"
)</f>
        <v>Middle Age</v>
      </c>
      <c r="N586" t="s">
        <v>15</v>
      </c>
      <c r="O586" t="str" cm="1">
        <f t="array" ref="O586">_xlfn.IFS(D586&gt;120000, "High Income", D586&gt;=80000, "Average Income", D586&lt;80000, "Low Income")</f>
        <v>Low Income</v>
      </c>
      <c r="P586">
        <f>IF(Table24[[#This Row],[Purchased Bike]]="Yes",1,0)</f>
        <v>1</v>
      </c>
    </row>
    <row r="587" spans="1:16" x14ac:dyDescent="0.25">
      <c r="A587">
        <v>15194</v>
      </c>
      <c r="B587" t="s">
        <v>35</v>
      </c>
      <c r="C587" t="s">
        <v>34</v>
      </c>
      <c r="D587" s="2">
        <v>120000</v>
      </c>
      <c r="E587">
        <v>2</v>
      </c>
      <c r="F587" t="s">
        <v>13</v>
      </c>
      <c r="G587" t="s">
        <v>28</v>
      </c>
      <c r="H587" t="s">
        <v>18</v>
      </c>
      <c r="I587">
        <v>3</v>
      </c>
      <c r="J587" t="s">
        <v>16</v>
      </c>
      <c r="K587" t="s">
        <v>32</v>
      </c>
      <c r="L587">
        <v>39</v>
      </c>
      <c r="M587" t="str" cm="1">
        <f t="array" ref="M587">_xlfn.IFS(
L587&gt;50,"Old Age",
L587&gt;=31,"Middle Age",
L587&lt;31,"Young Age"
)</f>
        <v>Middle Age</v>
      </c>
      <c r="N587" t="s">
        <v>15</v>
      </c>
      <c r="O587" t="str" cm="1">
        <f t="array" ref="O587">_xlfn.IFS(D587&gt;120000, "High Income", D587&gt;=80000, "Average Income", D587&lt;80000, "Low Income")</f>
        <v>Average Income</v>
      </c>
      <c r="P587">
        <f>IF(Table24[[#This Row],[Purchased Bike]]="Yes",1,0)</f>
        <v>1</v>
      </c>
    </row>
    <row r="588" spans="1:16" hidden="1" x14ac:dyDescent="0.25">
      <c r="A588">
        <v>17436</v>
      </c>
      <c r="B588" t="s">
        <v>34</v>
      </c>
      <c r="C588" t="s">
        <v>34</v>
      </c>
      <c r="D588" s="2">
        <v>60000</v>
      </c>
      <c r="E588">
        <v>2</v>
      </c>
      <c r="F588" t="s">
        <v>27</v>
      </c>
      <c r="G588" t="s">
        <v>21</v>
      </c>
      <c r="H588" t="s">
        <v>18</v>
      </c>
      <c r="I588">
        <v>2</v>
      </c>
      <c r="J588" t="s">
        <v>26</v>
      </c>
      <c r="K588" t="s">
        <v>32</v>
      </c>
      <c r="L588">
        <v>51</v>
      </c>
      <c r="M588" t="str" cm="1">
        <f t="array" ref="M588">_xlfn.IFS(
L588&gt;50,"Old Age",
L588&gt;=31,"Middle Age",
L588&lt;31,"Young Age"
)</f>
        <v>Old Age</v>
      </c>
      <c r="N588" t="s">
        <v>18</v>
      </c>
      <c r="O588" t="str" cm="1">
        <f t="array" ref="O588">_xlfn.IFS(D588&gt;120000, "High Income", D588&gt;=80000, "Average Income", D588&lt;80000, "Low Income")</f>
        <v>Low Income</v>
      </c>
      <c r="P588">
        <f>IF(Table24[[#This Row],[Purchased Bike]]="Yes",1,0)</f>
        <v>0</v>
      </c>
    </row>
    <row r="589" spans="1:16" hidden="1" x14ac:dyDescent="0.25">
      <c r="A589">
        <v>18935</v>
      </c>
      <c r="B589" t="s">
        <v>34</v>
      </c>
      <c r="C589" t="s">
        <v>33</v>
      </c>
      <c r="D589" s="2">
        <v>130000</v>
      </c>
      <c r="E589">
        <v>0</v>
      </c>
      <c r="F589" t="s">
        <v>31</v>
      </c>
      <c r="G589" t="s">
        <v>28</v>
      </c>
      <c r="H589" t="s">
        <v>15</v>
      </c>
      <c r="I589">
        <v>3</v>
      </c>
      <c r="J589" t="s">
        <v>26</v>
      </c>
      <c r="K589" t="s">
        <v>32</v>
      </c>
      <c r="L589">
        <v>40</v>
      </c>
      <c r="M589" t="str" cm="1">
        <f t="array" ref="M589">_xlfn.IFS(
L589&gt;50,"Old Age",
L589&gt;=31,"Middle Age",
L589&lt;31,"Young Age"
)</f>
        <v>Middle Age</v>
      </c>
      <c r="N589" t="s">
        <v>18</v>
      </c>
      <c r="O589" t="str" cm="1">
        <f t="array" ref="O589">_xlfn.IFS(D589&gt;120000, "High Income", D589&gt;=80000, "Average Income", D589&lt;80000, "Low Income")</f>
        <v>High Income</v>
      </c>
      <c r="P589">
        <f>IF(Table24[[#This Row],[Purchased Bike]]="Yes",1,0)</f>
        <v>0</v>
      </c>
    </row>
    <row r="590" spans="1:16" hidden="1" x14ac:dyDescent="0.25">
      <c r="A590">
        <v>16871</v>
      </c>
      <c r="B590" t="s">
        <v>34</v>
      </c>
      <c r="C590" t="s">
        <v>33</v>
      </c>
      <c r="D590" s="2">
        <v>90000</v>
      </c>
      <c r="E590">
        <v>2</v>
      </c>
      <c r="F590" t="s">
        <v>27</v>
      </c>
      <c r="G590" t="s">
        <v>21</v>
      </c>
      <c r="H590" t="s">
        <v>15</v>
      </c>
      <c r="I590">
        <v>1</v>
      </c>
      <c r="J590" t="s">
        <v>30</v>
      </c>
      <c r="K590" t="s">
        <v>32</v>
      </c>
      <c r="L590">
        <v>51</v>
      </c>
      <c r="M590" t="str" cm="1">
        <f t="array" ref="M590">_xlfn.IFS(
L590&gt;50,"Old Age",
L590&gt;=31,"Middle Age",
L590&lt;31,"Young Age"
)</f>
        <v>Old Age</v>
      </c>
      <c r="N590" t="s">
        <v>15</v>
      </c>
      <c r="O590" t="str" cm="1">
        <f t="array" ref="O590">_xlfn.IFS(D590&gt;120000, "High Income", D590&gt;=80000, "Average Income", D590&lt;80000, "Low Income")</f>
        <v>Average Income</v>
      </c>
      <c r="P590">
        <f>IF(Table24[[#This Row],[Purchased Bike]]="Yes",1,0)</f>
        <v>1</v>
      </c>
    </row>
    <row r="591" spans="1:16" hidden="1" x14ac:dyDescent="0.25">
      <c r="A591">
        <v>12100</v>
      </c>
      <c r="B591" t="s">
        <v>35</v>
      </c>
      <c r="C591" t="s">
        <v>34</v>
      </c>
      <c r="D591" s="2">
        <v>60000</v>
      </c>
      <c r="E591">
        <v>2</v>
      </c>
      <c r="F591" t="s">
        <v>13</v>
      </c>
      <c r="G591" t="s">
        <v>28</v>
      </c>
      <c r="H591" t="s">
        <v>15</v>
      </c>
      <c r="I591">
        <v>0</v>
      </c>
      <c r="J591" t="s">
        <v>30</v>
      </c>
      <c r="K591" t="s">
        <v>32</v>
      </c>
      <c r="L591">
        <v>57</v>
      </c>
      <c r="M591" t="str" cm="1">
        <f t="array" ref="M591">_xlfn.IFS(
L591&gt;50,"Old Age",
L591&gt;=31,"Middle Age",
L591&lt;31,"Young Age"
)</f>
        <v>Old Age</v>
      </c>
      <c r="N591" t="s">
        <v>18</v>
      </c>
      <c r="O591" t="str" cm="1">
        <f t="array" ref="O591">_xlfn.IFS(D591&gt;120000, "High Income", D591&gt;=80000, "Average Income", D591&lt;80000, "Low Income")</f>
        <v>Low Income</v>
      </c>
      <c r="P591">
        <f>IF(Table24[[#This Row],[Purchased Bike]]="Yes",1,0)</f>
        <v>0</v>
      </c>
    </row>
    <row r="592" spans="1:16" x14ac:dyDescent="0.25">
      <c r="A592">
        <v>23158</v>
      </c>
      <c r="B592" t="s">
        <v>34</v>
      </c>
      <c r="C592" t="s">
        <v>33</v>
      </c>
      <c r="D592" s="2">
        <v>60000</v>
      </c>
      <c r="E592">
        <v>1</v>
      </c>
      <c r="F592" t="s">
        <v>31</v>
      </c>
      <c r="G592" t="s">
        <v>21</v>
      </c>
      <c r="H592" t="s">
        <v>18</v>
      </c>
      <c r="I592">
        <v>0</v>
      </c>
      <c r="J592" t="s">
        <v>16</v>
      </c>
      <c r="K592" t="s">
        <v>32</v>
      </c>
      <c r="L592">
        <v>35</v>
      </c>
      <c r="M592" t="str" cm="1">
        <f t="array" ref="M592">_xlfn.IFS(
L592&gt;50,"Old Age",
L592&gt;=31,"Middle Age",
L592&lt;31,"Young Age"
)</f>
        <v>Middle Age</v>
      </c>
      <c r="N592" t="s">
        <v>15</v>
      </c>
      <c r="O592" t="str" cm="1">
        <f t="array" ref="O592">_xlfn.IFS(D592&gt;120000, "High Income", D592&gt;=80000, "Average Income", D592&lt;80000, "Low Income")</f>
        <v>Low Income</v>
      </c>
      <c r="P592">
        <f>IF(Table24[[#This Row],[Purchased Bike]]="Yes",1,0)</f>
        <v>1</v>
      </c>
    </row>
    <row r="593" spans="1:16" hidden="1" x14ac:dyDescent="0.25">
      <c r="A593">
        <v>18545</v>
      </c>
      <c r="B593" t="s">
        <v>34</v>
      </c>
      <c r="C593" t="s">
        <v>34</v>
      </c>
      <c r="D593" s="2">
        <v>40000</v>
      </c>
      <c r="E593">
        <v>4</v>
      </c>
      <c r="F593" t="s">
        <v>27</v>
      </c>
      <c r="G593" t="s">
        <v>21</v>
      </c>
      <c r="H593" t="s">
        <v>18</v>
      </c>
      <c r="I593">
        <v>2</v>
      </c>
      <c r="J593" t="s">
        <v>30</v>
      </c>
      <c r="K593" t="s">
        <v>32</v>
      </c>
      <c r="L593">
        <v>61</v>
      </c>
      <c r="M593" t="str" cm="1">
        <f t="array" ref="M593">_xlfn.IFS(
L593&gt;50,"Old Age",
L593&gt;=31,"Middle Age",
L593&lt;31,"Young Age"
)</f>
        <v>Old Age</v>
      </c>
      <c r="N593" t="s">
        <v>15</v>
      </c>
      <c r="O593" t="str" cm="1">
        <f t="array" ref="O593">_xlfn.IFS(D593&gt;120000, "High Income", D593&gt;=80000, "Average Income", D593&lt;80000, "Low Income")</f>
        <v>Low Income</v>
      </c>
      <c r="P593">
        <f>IF(Table24[[#This Row],[Purchased Bike]]="Yes",1,0)</f>
        <v>1</v>
      </c>
    </row>
    <row r="594" spans="1:16" hidden="1" x14ac:dyDescent="0.25">
      <c r="A594">
        <v>18391</v>
      </c>
      <c r="B594" t="s">
        <v>35</v>
      </c>
      <c r="C594" t="s">
        <v>33</v>
      </c>
      <c r="D594" s="2">
        <v>80000</v>
      </c>
      <c r="E594">
        <v>5</v>
      </c>
      <c r="F594" t="s">
        <v>19</v>
      </c>
      <c r="G594" t="s">
        <v>21</v>
      </c>
      <c r="H594" t="s">
        <v>15</v>
      </c>
      <c r="I594">
        <v>2</v>
      </c>
      <c r="J594" t="s">
        <v>23</v>
      </c>
      <c r="K594" t="s">
        <v>32</v>
      </c>
      <c r="L594">
        <v>44</v>
      </c>
      <c r="M594" t="str" cm="1">
        <f t="array" ref="M594">_xlfn.IFS(
L594&gt;50,"Old Age",
L594&gt;=31,"Middle Age",
L594&lt;31,"Young Age"
)</f>
        <v>Middle Age</v>
      </c>
      <c r="N594" t="s">
        <v>18</v>
      </c>
      <c r="O594" t="str" cm="1">
        <f t="array" ref="O594">_xlfn.IFS(D594&gt;120000, "High Income", D594&gt;=80000, "Average Income", D594&lt;80000, "Low Income")</f>
        <v>Average Income</v>
      </c>
      <c r="P594">
        <f>IF(Table24[[#This Row],[Purchased Bike]]="Yes",1,0)</f>
        <v>0</v>
      </c>
    </row>
    <row r="595" spans="1:16" x14ac:dyDescent="0.25">
      <c r="A595">
        <v>19812</v>
      </c>
      <c r="B595" t="s">
        <v>35</v>
      </c>
      <c r="C595" t="s">
        <v>33</v>
      </c>
      <c r="D595" s="2">
        <v>70000</v>
      </c>
      <c r="E595">
        <v>2</v>
      </c>
      <c r="F595" t="s">
        <v>19</v>
      </c>
      <c r="G595" t="s">
        <v>21</v>
      </c>
      <c r="H595" t="s">
        <v>15</v>
      </c>
      <c r="I595">
        <v>0</v>
      </c>
      <c r="J595" t="s">
        <v>23</v>
      </c>
      <c r="K595" t="s">
        <v>32</v>
      </c>
      <c r="L595">
        <v>49</v>
      </c>
      <c r="M595" t="str" cm="1">
        <f t="array" ref="M595">_xlfn.IFS(
L595&gt;50,"Old Age",
L595&gt;=31,"Middle Age",
L595&lt;31,"Young Age"
)</f>
        <v>Middle Age</v>
      </c>
      <c r="N595" t="s">
        <v>15</v>
      </c>
      <c r="O595" t="str" cm="1">
        <f t="array" ref="O595">_xlfn.IFS(D595&gt;120000, "High Income", D595&gt;=80000, "Average Income", D595&lt;80000, "Low Income")</f>
        <v>Low Income</v>
      </c>
      <c r="P595">
        <f>IF(Table24[[#This Row],[Purchased Bike]]="Yes",1,0)</f>
        <v>1</v>
      </c>
    </row>
    <row r="596" spans="1:16" hidden="1" x14ac:dyDescent="0.25">
      <c r="A596">
        <v>27660</v>
      </c>
      <c r="B596" t="s">
        <v>34</v>
      </c>
      <c r="C596" t="s">
        <v>34</v>
      </c>
      <c r="D596" s="2">
        <v>80000</v>
      </c>
      <c r="E596">
        <v>4</v>
      </c>
      <c r="F596" t="s">
        <v>31</v>
      </c>
      <c r="G596" t="s">
        <v>28</v>
      </c>
      <c r="H596" t="s">
        <v>15</v>
      </c>
      <c r="I596">
        <v>2</v>
      </c>
      <c r="J596" t="s">
        <v>23</v>
      </c>
      <c r="K596" t="s">
        <v>32</v>
      </c>
      <c r="L596">
        <v>70</v>
      </c>
      <c r="M596" t="str" cm="1">
        <f t="array" ref="M596">_xlfn.IFS(
L596&gt;50,"Old Age",
L596&gt;=31,"Middle Age",
L596&lt;31,"Young Age"
)</f>
        <v>Old Age</v>
      </c>
      <c r="N596" t="s">
        <v>18</v>
      </c>
      <c r="O596" t="str" cm="1">
        <f t="array" ref="O596">_xlfn.IFS(D596&gt;120000, "High Income", D596&gt;=80000, "Average Income", D596&lt;80000, "Low Income")</f>
        <v>Average Income</v>
      </c>
      <c r="P596">
        <f>IF(Table24[[#This Row],[Purchased Bike]]="Yes",1,0)</f>
        <v>0</v>
      </c>
    </row>
    <row r="597" spans="1:16" hidden="1" x14ac:dyDescent="0.25">
      <c r="A597">
        <v>18058</v>
      </c>
      <c r="B597" t="s">
        <v>35</v>
      </c>
      <c r="C597" t="s">
        <v>33</v>
      </c>
      <c r="D597" s="2">
        <v>20000</v>
      </c>
      <c r="E597">
        <v>3</v>
      </c>
      <c r="F597" t="s">
        <v>27</v>
      </c>
      <c r="G597" t="s">
        <v>14</v>
      </c>
      <c r="H597" t="s">
        <v>15</v>
      </c>
      <c r="I597">
        <v>2</v>
      </c>
      <c r="J597" t="s">
        <v>22</v>
      </c>
      <c r="K597" t="s">
        <v>32</v>
      </c>
      <c r="L597">
        <v>78</v>
      </c>
      <c r="M597" t="str" cm="1">
        <f t="array" ref="M597">_xlfn.IFS(
L597&gt;50,"Old Age",
L597&gt;=31,"Middle Age",
L597&lt;31,"Young Age"
)</f>
        <v>Old Age</v>
      </c>
      <c r="N597" t="s">
        <v>18</v>
      </c>
      <c r="O597" t="str" cm="1">
        <f t="array" ref="O597">_xlfn.IFS(D597&gt;120000, "High Income", D597&gt;=80000, "Average Income", D597&lt;80000, "Low Income")</f>
        <v>Low Income</v>
      </c>
      <c r="P597">
        <f>IF(Table24[[#This Row],[Purchased Bike]]="Yes",1,0)</f>
        <v>0</v>
      </c>
    </row>
    <row r="598" spans="1:16" hidden="1" x14ac:dyDescent="0.25">
      <c r="A598">
        <v>20343</v>
      </c>
      <c r="B598" t="s">
        <v>34</v>
      </c>
      <c r="C598" t="s">
        <v>33</v>
      </c>
      <c r="D598" s="2">
        <v>90000</v>
      </c>
      <c r="E598">
        <v>4</v>
      </c>
      <c r="F598" t="s">
        <v>19</v>
      </c>
      <c r="G598" t="s">
        <v>21</v>
      </c>
      <c r="H598" t="s">
        <v>15</v>
      </c>
      <c r="I598">
        <v>1</v>
      </c>
      <c r="J598" t="s">
        <v>26</v>
      </c>
      <c r="K598" t="s">
        <v>32</v>
      </c>
      <c r="L598">
        <v>45</v>
      </c>
      <c r="M598" t="str" cm="1">
        <f t="array" ref="M598">_xlfn.IFS(
L598&gt;50,"Old Age",
L598&gt;=31,"Middle Age",
L598&lt;31,"Young Age"
)</f>
        <v>Middle Age</v>
      </c>
      <c r="N598" t="s">
        <v>18</v>
      </c>
      <c r="O598" t="str" cm="1">
        <f t="array" ref="O598">_xlfn.IFS(D598&gt;120000, "High Income", D598&gt;=80000, "Average Income", D598&lt;80000, "Low Income")</f>
        <v>Average Income</v>
      </c>
      <c r="P598">
        <f>IF(Table24[[#This Row],[Purchased Bike]]="Yes",1,0)</f>
        <v>0</v>
      </c>
    </row>
    <row r="599" spans="1:16" hidden="1" x14ac:dyDescent="0.25">
      <c r="A599">
        <v>28997</v>
      </c>
      <c r="B599" t="s">
        <v>35</v>
      </c>
      <c r="C599" t="s">
        <v>34</v>
      </c>
      <c r="D599" s="2">
        <v>40000</v>
      </c>
      <c r="E599">
        <v>2</v>
      </c>
      <c r="F599" t="s">
        <v>27</v>
      </c>
      <c r="G599" t="s">
        <v>21</v>
      </c>
      <c r="H599" t="s">
        <v>18</v>
      </c>
      <c r="I599">
        <v>1</v>
      </c>
      <c r="J599" t="s">
        <v>22</v>
      </c>
      <c r="K599" t="s">
        <v>32</v>
      </c>
      <c r="L599">
        <v>58</v>
      </c>
      <c r="M599" t="str" cm="1">
        <f t="array" ref="M599">_xlfn.IFS(
L599&gt;50,"Old Age",
L599&gt;=31,"Middle Age",
L599&lt;31,"Young Age"
)</f>
        <v>Old Age</v>
      </c>
      <c r="N599" t="s">
        <v>15</v>
      </c>
      <c r="O599" t="str" cm="1">
        <f t="array" ref="O599">_xlfn.IFS(D599&gt;120000, "High Income", D599&gt;=80000, "Average Income", D599&lt;80000, "Low Income")</f>
        <v>Low Income</v>
      </c>
      <c r="P599">
        <f>IF(Table24[[#This Row],[Purchased Bike]]="Yes",1,0)</f>
        <v>1</v>
      </c>
    </row>
    <row r="600" spans="1:16" hidden="1" x14ac:dyDescent="0.25">
      <c r="A600">
        <v>24398</v>
      </c>
      <c r="B600" t="s">
        <v>34</v>
      </c>
      <c r="C600" t="s">
        <v>34</v>
      </c>
      <c r="D600" s="2">
        <v>130000</v>
      </c>
      <c r="E600">
        <v>1</v>
      </c>
      <c r="F600" t="s">
        <v>31</v>
      </c>
      <c r="G600" t="s">
        <v>28</v>
      </c>
      <c r="H600" t="s">
        <v>15</v>
      </c>
      <c r="I600">
        <v>4</v>
      </c>
      <c r="J600" t="s">
        <v>16</v>
      </c>
      <c r="K600" t="s">
        <v>32</v>
      </c>
      <c r="L600">
        <v>41</v>
      </c>
      <c r="M600" t="str" cm="1">
        <f t="array" ref="M600">_xlfn.IFS(
L600&gt;50,"Old Age",
L600&gt;=31,"Middle Age",
L600&lt;31,"Young Age"
)</f>
        <v>Middle Age</v>
      </c>
      <c r="N600" t="s">
        <v>18</v>
      </c>
      <c r="O600" t="str" cm="1">
        <f t="array" ref="O600">_xlfn.IFS(D600&gt;120000, "High Income", D600&gt;=80000, "Average Income", D600&lt;80000, "Low Income")</f>
        <v>High Income</v>
      </c>
      <c r="P600">
        <f>IF(Table24[[#This Row],[Purchased Bike]]="Yes",1,0)</f>
        <v>0</v>
      </c>
    </row>
    <row r="601" spans="1:16" hidden="1" x14ac:dyDescent="0.25">
      <c r="A601">
        <v>19002</v>
      </c>
      <c r="B601" t="s">
        <v>34</v>
      </c>
      <c r="C601" t="s">
        <v>33</v>
      </c>
      <c r="D601" s="2">
        <v>60000</v>
      </c>
      <c r="E601">
        <v>2</v>
      </c>
      <c r="F601" t="s">
        <v>19</v>
      </c>
      <c r="G601" t="s">
        <v>21</v>
      </c>
      <c r="H601" t="s">
        <v>15</v>
      </c>
      <c r="I601">
        <v>1</v>
      </c>
      <c r="J601" t="s">
        <v>22</v>
      </c>
      <c r="K601" t="s">
        <v>32</v>
      </c>
      <c r="L601">
        <v>57</v>
      </c>
      <c r="M601" t="str" cm="1">
        <f t="array" ref="M601">_xlfn.IFS(
L601&gt;50,"Old Age",
L601&gt;=31,"Middle Age",
L601&lt;31,"Young Age"
)</f>
        <v>Old Age</v>
      </c>
      <c r="N601" t="s">
        <v>15</v>
      </c>
      <c r="O601" t="str" cm="1">
        <f t="array" ref="O601">_xlfn.IFS(D601&gt;120000, "High Income", D601&gt;=80000, "Average Income", D601&lt;80000, "Low Income")</f>
        <v>Low Income</v>
      </c>
      <c r="P601">
        <f>IF(Table24[[#This Row],[Purchased Bike]]="Yes",1,0)</f>
        <v>1</v>
      </c>
    </row>
    <row r="602" spans="1:16" hidden="1" x14ac:dyDescent="0.25">
      <c r="A602">
        <v>28609</v>
      </c>
      <c r="B602" t="s">
        <v>34</v>
      </c>
      <c r="C602" t="s">
        <v>34</v>
      </c>
      <c r="D602" s="2">
        <v>30000</v>
      </c>
      <c r="E602">
        <v>2</v>
      </c>
      <c r="F602" t="s">
        <v>27</v>
      </c>
      <c r="G602" t="s">
        <v>14</v>
      </c>
      <c r="H602" t="s">
        <v>18</v>
      </c>
      <c r="I602">
        <v>2</v>
      </c>
      <c r="J602" t="s">
        <v>16</v>
      </c>
      <c r="K602" t="s">
        <v>32</v>
      </c>
      <c r="L602">
        <v>49</v>
      </c>
      <c r="M602" t="str" cm="1">
        <f t="array" ref="M602">_xlfn.IFS(
L602&gt;50,"Old Age",
L602&gt;=31,"Middle Age",
L602&lt;31,"Young Age"
)</f>
        <v>Middle Age</v>
      </c>
      <c r="N602" t="s">
        <v>18</v>
      </c>
      <c r="O602" t="str" cm="1">
        <f t="array" ref="O602">_xlfn.IFS(D602&gt;120000, "High Income", D602&gt;=80000, "Average Income", D602&lt;80000, "Low Income")</f>
        <v>Low Income</v>
      </c>
      <c r="P602">
        <f>IF(Table24[[#This Row],[Purchased Bike]]="Yes",1,0)</f>
        <v>0</v>
      </c>
    </row>
    <row r="603" spans="1:16" hidden="1" x14ac:dyDescent="0.25">
      <c r="A603">
        <v>29231</v>
      </c>
      <c r="B603" t="s">
        <v>35</v>
      </c>
      <c r="C603" t="s">
        <v>34</v>
      </c>
      <c r="D603" s="2">
        <v>80000</v>
      </c>
      <c r="E603">
        <v>4</v>
      </c>
      <c r="F603" t="s">
        <v>19</v>
      </c>
      <c r="G603" t="s">
        <v>21</v>
      </c>
      <c r="H603" t="s">
        <v>18</v>
      </c>
      <c r="I603">
        <v>2</v>
      </c>
      <c r="J603" t="s">
        <v>16</v>
      </c>
      <c r="K603" t="s">
        <v>32</v>
      </c>
      <c r="L603">
        <v>43</v>
      </c>
      <c r="M603" t="str" cm="1">
        <f t="array" ref="M603">_xlfn.IFS(
L603&gt;50,"Old Age",
L603&gt;=31,"Middle Age",
L603&lt;31,"Young Age"
)</f>
        <v>Middle Age</v>
      </c>
      <c r="N603" t="s">
        <v>18</v>
      </c>
      <c r="O603" t="str" cm="1">
        <f t="array" ref="O603">_xlfn.IFS(D603&gt;120000, "High Income", D603&gt;=80000, "Average Income", D603&lt;80000, "Low Income")</f>
        <v>Average Income</v>
      </c>
      <c r="P603">
        <f>IF(Table24[[#This Row],[Purchased Bike]]="Yes",1,0)</f>
        <v>0</v>
      </c>
    </row>
    <row r="604" spans="1:16" hidden="1" x14ac:dyDescent="0.25">
      <c r="A604">
        <v>18858</v>
      </c>
      <c r="B604" t="s">
        <v>35</v>
      </c>
      <c r="C604" t="s">
        <v>34</v>
      </c>
      <c r="D604" s="2">
        <v>60000</v>
      </c>
      <c r="E604">
        <v>2</v>
      </c>
      <c r="F604" t="s">
        <v>29</v>
      </c>
      <c r="G604" t="s">
        <v>14</v>
      </c>
      <c r="H604" t="s">
        <v>15</v>
      </c>
      <c r="I604">
        <v>2</v>
      </c>
      <c r="J604" t="s">
        <v>23</v>
      </c>
      <c r="K604" t="s">
        <v>32</v>
      </c>
      <c r="L604">
        <v>52</v>
      </c>
      <c r="M604" t="str" cm="1">
        <f t="array" ref="M604">_xlfn.IFS(
L604&gt;50,"Old Age",
L604&gt;=31,"Middle Age",
L604&lt;31,"Young Age"
)</f>
        <v>Old Age</v>
      </c>
      <c r="N604" t="s">
        <v>15</v>
      </c>
      <c r="O604" t="str" cm="1">
        <f t="array" ref="O604">_xlfn.IFS(D604&gt;120000, "High Income", D604&gt;=80000, "Average Income", D604&lt;80000, "Low Income")</f>
        <v>Low Income</v>
      </c>
      <c r="P604">
        <f>IF(Table24[[#This Row],[Purchased Bike]]="Yes",1,0)</f>
        <v>1</v>
      </c>
    </row>
    <row r="605" spans="1:16" x14ac:dyDescent="0.25">
      <c r="A605">
        <v>20000</v>
      </c>
      <c r="B605" t="s">
        <v>34</v>
      </c>
      <c r="C605" t="s">
        <v>34</v>
      </c>
      <c r="D605" s="2">
        <v>60000</v>
      </c>
      <c r="E605">
        <v>1</v>
      </c>
      <c r="F605" t="s">
        <v>31</v>
      </c>
      <c r="G605" t="s">
        <v>21</v>
      </c>
      <c r="H605" t="s">
        <v>15</v>
      </c>
      <c r="I605">
        <v>0</v>
      </c>
      <c r="J605" t="s">
        <v>16</v>
      </c>
      <c r="K605" t="s">
        <v>32</v>
      </c>
      <c r="L605">
        <v>35</v>
      </c>
      <c r="M605" t="str" cm="1">
        <f t="array" ref="M605">_xlfn.IFS(
L605&gt;50,"Old Age",
L605&gt;=31,"Middle Age",
L605&lt;31,"Young Age"
)</f>
        <v>Middle Age</v>
      </c>
      <c r="N605" t="s">
        <v>15</v>
      </c>
      <c r="O605" t="str" cm="1">
        <f t="array" ref="O605">_xlfn.IFS(D605&gt;120000, "High Income", D605&gt;=80000, "Average Income", D605&lt;80000, "Low Income")</f>
        <v>Low Income</v>
      </c>
      <c r="P605">
        <f>IF(Table24[[#This Row],[Purchased Bike]]="Yes",1,0)</f>
        <v>1</v>
      </c>
    </row>
    <row r="606" spans="1:16" hidden="1" x14ac:dyDescent="0.25">
      <c r="A606">
        <v>25261</v>
      </c>
      <c r="B606" t="s">
        <v>34</v>
      </c>
      <c r="C606" t="s">
        <v>34</v>
      </c>
      <c r="D606" s="2">
        <v>40000</v>
      </c>
      <c r="E606">
        <v>0</v>
      </c>
      <c r="F606" t="s">
        <v>27</v>
      </c>
      <c r="G606" t="s">
        <v>14</v>
      </c>
      <c r="H606" t="s">
        <v>15</v>
      </c>
      <c r="I606">
        <v>2</v>
      </c>
      <c r="J606" t="s">
        <v>23</v>
      </c>
      <c r="K606" t="s">
        <v>32</v>
      </c>
      <c r="L606">
        <v>27</v>
      </c>
      <c r="M606" t="str" cm="1">
        <f t="array" ref="M606">_xlfn.IFS(
L606&gt;50,"Old Age",
L606&gt;=31,"Middle Age",
L606&lt;31,"Young Age"
)</f>
        <v>Young Age</v>
      </c>
      <c r="N606" t="s">
        <v>18</v>
      </c>
      <c r="O606" t="str" cm="1">
        <f t="array" ref="O606">_xlfn.IFS(D606&gt;120000, "High Income", D606&gt;=80000, "Average Income", D606&lt;80000, "Low Income")</f>
        <v>Low Income</v>
      </c>
      <c r="P606">
        <f>IF(Table24[[#This Row],[Purchased Bike]]="Yes",1,0)</f>
        <v>0</v>
      </c>
    </row>
    <row r="607" spans="1:16" hidden="1" x14ac:dyDescent="0.25">
      <c r="A607">
        <v>17458</v>
      </c>
      <c r="B607" t="s">
        <v>35</v>
      </c>
      <c r="C607" t="s">
        <v>34</v>
      </c>
      <c r="D607" s="2">
        <v>70000</v>
      </c>
      <c r="E607">
        <v>3</v>
      </c>
      <c r="F607" t="s">
        <v>27</v>
      </c>
      <c r="G607" t="s">
        <v>21</v>
      </c>
      <c r="H607" t="s">
        <v>15</v>
      </c>
      <c r="I607">
        <v>0</v>
      </c>
      <c r="J607" t="s">
        <v>23</v>
      </c>
      <c r="K607" t="s">
        <v>32</v>
      </c>
      <c r="L607">
        <v>52</v>
      </c>
      <c r="M607" t="str" cm="1">
        <f t="array" ref="M607">_xlfn.IFS(
L607&gt;50,"Old Age",
L607&gt;=31,"Middle Age",
L607&lt;31,"Young Age"
)</f>
        <v>Old Age</v>
      </c>
      <c r="N607" t="s">
        <v>15</v>
      </c>
      <c r="O607" t="str" cm="1">
        <f t="array" ref="O607">_xlfn.IFS(D607&gt;120000, "High Income", D607&gt;=80000, "Average Income", D607&lt;80000, "Low Income")</f>
        <v>Low Income</v>
      </c>
      <c r="P607">
        <f>IF(Table24[[#This Row],[Purchased Bike]]="Yes",1,0)</f>
        <v>1</v>
      </c>
    </row>
    <row r="608" spans="1:16" hidden="1" x14ac:dyDescent="0.25">
      <c r="A608">
        <v>11644</v>
      </c>
      <c r="B608" t="s">
        <v>35</v>
      </c>
      <c r="C608" t="s">
        <v>34</v>
      </c>
      <c r="D608" s="2">
        <v>40000</v>
      </c>
      <c r="E608">
        <v>2</v>
      </c>
      <c r="F608" t="s">
        <v>13</v>
      </c>
      <c r="G608" t="s">
        <v>14</v>
      </c>
      <c r="H608" t="s">
        <v>15</v>
      </c>
      <c r="I608">
        <v>0</v>
      </c>
      <c r="J608" t="s">
        <v>22</v>
      </c>
      <c r="K608" t="s">
        <v>32</v>
      </c>
      <c r="L608">
        <v>36</v>
      </c>
      <c r="M608" t="str" cm="1">
        <f t="array" ref="M608">_xlfn.IFS(
L608&gt;50,"Old Age",
L608&gt;=31,"Middle Age",
L608&lt;31,"Young Age"
)</f>
        <v>Middle Age</v>
      </c>
      <c r="N608" t="s">
        <v>18</v>
      </c>
      <c r="O608" t="str" cm="1">
        <f t="array" ref="O608">_xlfn.IFS(D608&gt;120000, "High Income", D608&gt;=80000, "Average Income", D608&lt;80000, "Low Income")</f>
        <v>Low Income</v>
      </c>
      <c r="P608">
        <f>IF(Table24[[#This Row],[Purchased Bike]]="Yes",1,0)</f>
        <v>0</v>
      </c>
    </row>
    <row r="609" spans="1:16" x14ac:dyDescent="0.25">
      <c r="A609">
        <v>16145</v>
      </c>
      <c r="B609" t="s">
        <v>35</v>
      </c>
      <c r="C609" t="s">
        <v>33</v>
      </c>
      <c r="D609" s="2">
        <v>70000</v>
      </c>
      <c r="E609">
        <v>5</v>
      </c>
      <c r="F609" t="s">
        <v>31</v>
      </c>
      <c r="G609" t="s">
        <v>21</v>
      </c>
      <c r="H609" t="s">
        <v>15</v>
      </c>
      <c r="I609">
        <v>3</v>
      </c>
      <c r="J609" t="s">
        <v>30</v>
      </c>
      <c r="K609" t="s">
        <v>32</v>
      </c>
      <c r="L609">
        <v>46</v>
      </c>
      <c r="M609" t="str" cm="1">
        <f t="array" ref="M609">_xlfn.IFS(
L609&gt;50,"Old Age",
L609&gt;=31,"Middle Age",
L609&lt;31,"Young Age"
)</f>
        <v>Middle Age</v>
      </c>
      <c r="N609" t="s">
        <v>15</v>
      </c>
      <c r="O609" t="str" cm="1">
        <f t="array" ref="O609">_xlfn.IFS(D609&gt;120000, "High Income", D609&gt;=80000, "Average Income", D609&lt;80000, "Low Income")</f>
        <v>Low Income</v>
      </c>
      <c r="P609">
        <f>IF(Table24[[#This Row],[Purchased Bike]]="Yes",1,0)</f>
        <v>1</v>
      </c>
    </row>
    <row r="610" spans="1:16" hidden="1" x14ac:dyDescent="0.25">
      <c r="A610">
        <v>16890</v>
      </c>
      <c r="B610" t="s">
        <v>34</v>
      </c>
      <c r="C610" t="s">
        <v>34</v>
      </c>
      <c r="D610" s="2">
        <v>60000</v>
      </c>
      <c r="E610">
        <v>3</v>
      </c>
      <c r="F610" t="s">
        <v>29</v>
      </c>
      <c r="G610" t="s">
        <v>14</v>
      </c>
      <c r="H610" t="s">
        <v>15</v>
      </c>
      <c r="I610">
        <v>2</v>
      </c>
      <c r="J610" t="s">
        <v>23</v>
      </c>
      <c r="K610" t="s">
        <v>32</v>
      </c>
      <c r="L610">
        <v>52</v>
      </c>
      <c r="M610" t="str" cm="1">
        <f t="array" ref="M610">_xlfn.IFS(
L610&gt;50,"Old Age",
L610&gt;=31,"Middle Age",
L610&lt;31,"Young Age"
)</f>
        <v>Old Age</v>
      </c>
      <c r="N610" t="s">
        <v>15</v>
      </c>
      <c r="O610" t="str" cm="1">
        <f t="array" ref="O610">_xlfn.IFS(D610&gt;120000, "High Income", D610&gt;=80000, "Average Income", D610&lt;80000, "Low Income")</f>
        <v>Low Income</v>
      </c>
      <c r="P610">
        <f>IF(Table24[[#This Row],[Purchased Bike]]="Yes",1,0)</f>
        <v>1</v>
      </c>
    </row>
    <row r="611" spans="1:16" hidden="1" x14ac:dyDescent="0.25">
      <c r="A611">
        <v>25983</v>
      </c>
      <c r="B611" t="s">
        <v>34</v>
      </c>
      <c r="C611" t="s">
        <v>34</v>
      </c>
      <c r="D611" s="2">
        <v>70000</v>
      </c>
      <c r="E611">
        <v>0</v>
      </c>
      <c r="F611" t="s">
        <v>13</v>
      </c>
      <c r="G611" t="s">
        <v>21</v>
      </c>
      <c r="H611" t="s">
        <v>18</v>
      </c>
      <c r="I611">
        <v>1</v>
      </c>
      <c r="J611" t="s">
        <v>16</v>
      </c>
      <c r="K611" t="s">
        <v>32</v>
      </c>
      <c r="L611">
        <v>43</v>
      </c>
      <c r="M611" t="str" cm="1">
        <f t="array" ref="M611">_xlfn.IFS(
L611&gt;50,"Old Age",
L611&gt;=31,"Middle Age",
L611&lt;31,"Young Age"
)</f>
        <v>Middle Age</v>
      </c>
      <c r="N611" t="s">
        <v>18</v>
      </c>
      <c r="O611" t="str" cm="1">
        <f t="array" ref="O611">_xlfn.IFS(D611&gt;120000, "High Income", D611&gt;=80000, "Average Income", D611&lt;80000, "Low Income")</f>
        <v>Low Income</v>
      </c>
      <c r="P611">
        <f>IF(Table24[[#This Row],[Purchased Bike]]="Yes",1,0)</f>
        <v>0</v>
      </c>
    </row>
    <row r="612" spans="1:16" hidden="1" x14ac:dyDescent="0.25">
      <c r="A612">
        <v>14633</v>
      </c>
      <c r="B612" t="s">
        <v>34</v>
      </c>
      <c r="C612" t="s">
        <v>34</v>
      </c>
      <c r="D612" s="2">
        <v>60000</v>
      </c>
      <c r="E612">
        <v>1</v>
      </c>
      <c r="F612" t="s">
        <v>19</v>
      </c>
      <c r="G612" t="s">
        <v>14</v>
      </c>
      <c r="H612" t="s">
        <v>15</v>
      </c>
      <c r="I612">
        <v>1</v>
      </c>
      <c r="J612" t="s">
        <v>22</v>
      </c>
      <c r="K612" t="s">
        <v>32</v>
      </c>
      <c r="L612">
        <v>44</v>
      </c>
      <c r="M612" t="str" cm="1">
        <f t="array" ref="M612">_xlfn.IFS(
L612&gt;50,"Old Age",
L612&gt;=31,"Middle Age",
L612&lt;31,"Young Age"
)</f>
        <v>Middle Age</v>
      </c>
      <c r="N612" t="s">
        <v>18</v>
      </c>
      <c r="O612" t="str" cm="1">
        <f t="array" ref="O612">_xlfn.IFS(D612&gt;120000, "High Income", D612&gt;=80000, "Average Income", D612&lt;80000, "Low Income")</f>
        <v>Low Income</v>
      </c>
      <c r="P612">
        <f>IF(Table24[[#This Row],[Purchased Bike]]="Yes",1,0)</f>
        <v>0</v>
      </c>
    </row>
    <row r="613" spans="1:16" x14ac:dyDescent="0.25">
      <c r="A613">
        <v>22994</v>
      </c>
      <c r="B613" t="s">
        <v>34</v>
      </c>
      <c r="C613" t="s">
        <v>33</v>
      </c>
      <c r="D613" s="2">
        <v>80000</v>
      </c>
      <c r="E613">
        <v>0</v>
      </c>
      <c r="F613" t="s">
        <v>13</v>
      </c>
      <c r="G613" t="s">
        <v>28</v>
      </c>
      <c r="H613" t="s">
        <v>15</v>
      </c>
      <c r="I613">
        <v>1</v>
      </c>
      <c r="J613" t="s">
        <v>26</v>
      </c>
      <c r="K613" t="s">
        <v>32</v>
      </c>
      <c r="L613">
        <v>34</v>
      </c>
      <c r="M613" t="str" cm="1">
        <f t="array" ref="M613">_xlfn.IFS(
L613&gt;50,"Old Age",
L613&gt;=31,"Middle Age",
L613&lt;31,"Young Age"
)</f>
        <v>Middle Age</v>
      </c>
      <c r="N613" t="s">
        <v>15</v>
      </c>
      <c r="O613" t="str" cm="1">
        <f t="array" ref="O613">_xlfn.IFS(D613&gt;120000, "High Income", D613&gt;=80000, "Average Income", D613&lt;80000, "Low Income")</f>
        <v>Average Income</v>
      </c>
      <c r="P613">
        <f>IF(Table24[[#This Row],[Purchased Bike]]="Yes",1,0)</f>
        <v>1</v>
      </c>
    </row>
    <row r="614" spans="1:16" hidden="1" x14ac:dyDescent="0.25">
      <c r="A614">
        <v>22983</v>
      </c>
      <c r="B614" t="s">
        <v>35</v>
      </c>
      <c r="C614" t="s">
        <v>33</v>
      </c>
      <c r="D614" s="2">
        <v>30000</v>
      </c>
      <c r="E614">
        <v>0</v>
      </c>
      <c r="F614" t="s">
        <v>29</v>
      </c>
      <c r="G614" t="s">
        <v>20</v>
      </c>
      <c r="H614" t="s">
        <v>15</v>
      </c>
      <c r="I614">
        <v>2</v>
      </c>
      <c r="J614" t="s">
        <v>23</v>
      </c>
      <c r="K614" t="s">
        <v>32</v>
      </c>
      <c r="L614">
        <v>27</v>
      </c>
      <c r="M614" t="str" cm="1">
        <f t="array" ref="M614">_xlfn.IFS(
L614&gt;50,"Old Age",
L614&gt;=31,"Middle Age",
L614&lt;31,"Young Age"
)</f>
        <v>Young Age</v>
      </c>
      <c r="N614" t="s">
        <v>18</v>
      </c>
      <c r="O614" t="str" cm="1">
        <f t="array" ref="O614">_xlfn.IFS(D614&gt;120000, "High Income", D614&gt;=80000, "Average Income", D614&lt;80000, "Low Income")</f>
        <v>Low Income</v>
      </c>
      <c r="P614">
        <f>IF(Table24[[#This Row],[Purchased Bike]]="Yes",1,0)</f>
        <v>0</v>
      </c>
    </row>
    <row r="615" spans="1:16" x14ac:dyDescent="0.25">
      <c r="A615">
        <v>25184</v>
      </c>
      <c r="B615" t="s">
        <v>35</v>
      </c>
      <c r="C615" t="s">
        <v>34</v>
      </c>
      <c r="D615" s="2">
        <v>110000</v>
      </c>
      <c r="E615">
        <v>1</v>
      </c>
      <c r="F615" t="s">
        <v>19</v>
      </c>
      <c r="G615" t="s">
        <v>21</v>
      </c>
      <c r="H615" t="s">
        <v>15</v>
      </c>
      <c r="I615">
        <v>4</v>
      </c>
      <c r="J615" t="s">
        <v>23</v>
      </c>
      <c r="K615" t="s">
        <v>32</v>
      </c>
      <c r="L615">
        <v>45</v>
      </c>
      <c r="M615" t="str" cm="1">
        <f t="array" ref="M615">_xlfn.IFS(
L615&gt;50,"Old Age",
L615&gt;=31,"Middle Age",
L615&lt;31,"Young Age"
)</f>
        <v>Middle Age</v>
      </c>
      <c r="N615" t="s">
        <v>15</v>
      </c>
      <c r="O615" t="str" cm="1">
        <f t="array" ref="O615">_xlfn.IFS(D615&gt;120000, "High Income", D615&gt;=80000, "Average Income", D615&lt;80000, "Low Income")</f>
        <v>Average Income</v>
      </c>
      <c r="P615">
        <f>IF(Table24[[#This Row],[Purchased Bike]]="Yes",1,0)</f>
        <v>1</v>
      </c>
    </row>
    <row r="616" spans="1:16" hidden="1" x14ac:dyDescent="0.25">
      <c r="A616">
        <v>14469</v>
      </c>
      <c r="B616" t="s">
        <v>34</v>
      </c>
      <c r="C616" t="s">
        <v>33</v>
      </c>
      <c r="D616" s="2">
        <v>100000</v>
      </c>
      <c r="E616">
        <v>3</v>
      </c>
      <c r="F616" t="s">
        <v>19</v>
      </c>
      <c r="G616" t="s">
        <v>21</v>
      </c>
      <c r="H616" t="s">
        <v>15</v>
      </c>
      <c r="I616">
        <v>4</v>
      </c>
      <c r="J616" t="s">
        <v>26</v>
      </c>
      <c r="K616" t="s">
        <v>32</v>
      </c>
      <c r="L616">
        <v>45</v>
      </c>
      <c r="M616" t="str" cm="1">
        <f t="array" ref="M616">_xlfn.IFS(
L616&gt;50,"Old Age",
L616&gt;=31,"Middle Age",
L616&lt;31,"Young Age"
)</f>
        <v>Middle Age</v>
      </c>
      <c r="N616" t="s">
        <v>18</v>
      </c>
      <c r="O616" t="str" cm="1">
        <f t="array" ref="O616">_xlfn.IFS(D616&gt;120000, "High Income", D616&gt;=80000, "Average Income", D616&lt;80000, "Low Income")</f>
        <v>Average Income</v>
      </c>
      <c r="P616">
        <f>IF(Table24[[#This Row],[Purchased Bike]]="Yes",1,0)</f>
        <v>0</v>
      </c>
    </row>
    <row r="617" spans="1:16" x14ac:dyDescent="0.25">
      <c r="A617">
        <v>11538</v>
      </c>
      <c r="B617" t="s">
        <v>35</v>
      </c>
      <c r="C617" t="s">
        <v>33</v>
      </c>
      <c r="D617" s="2">
        <v>60000</v>
      </c>
      <c r="E617">
        <v>4</v>
      </c>
      <c r="F617" t="s">
        <v>31</v>
      </c>
      <c r="G617" t="s">
        <v>14</v>
      </c>
      <c r="H617" t="s">
        <v>18</v>
      </c>
      <c r="I617">
        <v>0</v>
      </c>
      <c r="J617" t="s">
        <v>16</v>
      </c>
      <c r="K617" t="s">
        <v>32</v>
      </c>
      <c r="L617">
        <v>47</v>
      </c>
      <c r="M617" t="str" cm="1">
        <f t="array" ref="M617">_xlfn.IFS(
L617&gt;50,"Old Age",
L617&gt;=31,"Middle Age",
L617&lt;31,"Young Age"
)</f>
        <v>Middle Age</v>
      </c>
      <c r="N617" t="s">
        <v>15</v>
      </c>
      <c r="O617" t="str" cm="1">
        <f t="array" ref="O617">_xlfn.IFS(D617&gt;120000, "High Income", D617&gt;=80000, "Average Income", D617&lt;80000, "Low Income")</f>
        <v>Low Income</v>
      </c>
      <c r="P617">
        <f>IF(Table24[[#This Row],[Purchased Bike]]="Yes",1,0)</f>
        <v>1</v>
      </c>
    </row>
    <row r="618" spans="1:16" hidden="1" x14ac:dyDescent="0.25">
      <c r="A618">
        <v>16245</v>
      </c>
      <c r="B618" t="s">
        <v>35</v>
      </c>
      <c r="C618" t="s">
        <v>33</v>
      </c>
      <c r="D618" s="2">
        <v>80000</v>
      </c>
      <c r="E618">
        <v>4</v>
      </c>
      <c r="F618" t="s">
        <v>31</v>
      </c>
      <c r="G618" t="s">
        <v>14</v>
      </c>
      <c r="H618" t="s">
        <v>15</v>
      </c>
      <c r="I618">
        <v>0</v>
      </c>
      <c r="J618" t="s">
        <v>26</v>
      </c>
      <c r="K618" t="s">
        <v>32</v>
      </c>
      <c r="L618">
        <v>47</v>
      </c>
      <c r="M618" t="str" cm="1">
        <f t="array" ref="M618">_xlfn.IFS(
L618&gt;50,"Old Age",
L618&gt;=31,"Middle Age",
L618&lt;31,"Young Age"
)</f>
        <v>Middle Age</v>
      </c>
      <c r="N618" t="s">
        <v>18</v>
      </c>
      <c r="O618" t="str" cm="1">
        <f t="array" ref="O618">_xlfn.IFS(D618&gt;120000, "High Income", D618&gt;=80000, "Average Income", D618&lt;80000, "Low Income")</f>
        <v>Average Income</v>
      </c>
      <c r="P618">
        <f>IF(Table24[[#This Row],[Purchased Bike]]="Yes",1,0)</f>
        <v>0</v>
      </c>
    </row>
    <row r="619" spans="1:16" x14ac:dyDescent="0.25">
      <c r="A619">
        <v>17858</v>
      </c>
      <c r="B619" t="s">
        <v>34</v>
      </c>
      <c r="C619" t="s">
        <v>34</v>
      </c>
      <c r="D619" s="2">
        <v>40000</v>
      </c>
      <c r="E619">
        <v>4</v>
      </c>
      <c r="F619" t="s">
        <v>27</v>
      </c>
      <c r="G619" t="s">
        <v>14</v>
      </c>
      <c r="H619" t="s">
        <v>15</v>
      </c>
      <c r="I619">
        <v>2</v>
      </c>
      <c r="J619" t="s">
        <v>22</v>
      </c>
      <c r="K619" t="s">
        <v>32</v>
      </c>
      <c r="L619">
        <v>44</v>
      </c>
      <c r="M619" t="str" cm="1">
        <f t="array" ref="M619">_xlfn.IFS(
L619&gt;50,"Old Age",
L619&gt;=31,"Middle Age",
L619&lt;31,"Young Age"
)</f>
        <v>Middle Age</v>
      </c>
      <c r="N619" t="s">
        <v>15</v>
      </c>
      <c r="O619" t="str" cm="1">
        <f t="array" ref="O619">_xlfn.IFS(D619&gt;120000, "High Income", D619&gt;=80000, "Average Income", D619&lt;80000, "Low Income")</f>
        <v>Low Income</v>
      </c>
      <c r="P619">
        <f>IF(Table24[[#This Row],[Purchased Bike]]="Yes",1,0)</f>
        <v>1</v>
      </c>
    </row>
    <row r="620" spans="1:16" hidden="1" x14ac:dyDescent="0.25">
      <c r="A620">
        <v>25347</v>
      </c>
      <c r="B620" t="s">
        <v>35</v>
      </c>
      <c r="C620" t="s">
        <v>33</v>
      </c>
      <c r="D620" s="2">
        <v>20000</v>
      </c>
      <c r="E620">
        <v>3</v>
      </c>
      <c r="F620" t="s">
        <v>29</v>
      </c>
      <c r="G620" t="s">
        <v>20</v>
      </c>
      <c r="H620" t="s">
        <v>18</v>
      </c>
      <c r="I620">
        <v>2</v>
      </c>
      <c r="J620" t="s">
        <v>16</v>
      </c>
      <c r="K620" t="s">
        <v>32</v>
      </c>
      <c r="L620">
        <v>49</v>
      </c>
      <c r="M620" t="str" cm="1">
        <f t="array" ref="M620">_xlfn.IFS(
L620&gt;50,"Old Age",
L620&gt;=31,"Middle Age",
L620&lt;31,"Young Age"
)</f>
        <v>Middle Age</v>
      </c>
      <c r="N620" t="s">
        <v>18</v>
      </c>
      <c r="O620" t="str" cm="1">
        <f t="array" ref="O620">_xlfn.IFS(D620&gt;120000, "High Income", D620&gt;=80000, "Average Income", D620&lt;80000, "Low Income")</f>
        <v>Low Income</v>
      </c>
      <c r="P620">
        <f>IF(Table24[[#This Row],[Purchased Bike]]="Yes",1,0)</f>
        <v>0</v>
      </c>
    </row>
    <row r="621" spans="1:16" hidden="1" x14ac:dyDescent="0.25">
      <c r="A621">
        <v>15814</v>
      </c>
      <c r="B621" t="s">
        <v>35</v>
      </c>
      <c r="C621" t="s">
        <v>33</v>
      </c>
      <c r="D621" s="2">
        <v>40000</v>
      </c>
      <c r="E621">
        <v>0</v>
      </c>
      <c r="F621" t="s">
        <v>27</v>
      </c>
      <c r="G621" t="s">
        <v>14</v>
      </c>
      <c r="H621" t="s">
        <v>15</v>
      </c>
      <c r="I621">
        <v>1</v>
      </c>
      <c r="J621" t="s">
        <v>23</v>
      </c>
      <c r="K621" t="s">
        <v>32</v>
      </c>
      <c r="L621">
        <v>30</v>
      </c>
      <c r="M621" t="str" cm="1">
        <f t="array" ref="M621">_xlfn.IFS(
L621&gt;50,"Old Age",
L621&gt;=31,"Middle Age",
L621&lt;31,"Young Age"
)</f>
        <v>Young Age</v>
      </c>
      <c r="N621" t="s">
        <v>18</v>
      </c>
      <c r="O621" t="str" cm="1">
        <f t="array" ref="O621">_xlfn.IFS(D621&gt;120000, "High Income", D621&gt;=80000, "Average Income", D621&lt;80000, "Low Income")</f>
        <v>Low Income</v>
      </c>
      <c r="P621">
        <f>IF(Table24[[#This Row],[Purchased Bike]]="Yes",1,0)</f>
        <v>0</v>
      </c>
    </row>
    <row r="622" spans="1:16" x14ac:dyDescent="0.25">
      <c r="A622">
        <v>11259</v>
      </c>
      <c r="B622" t="s">
        <v>34</v>
      </c>
      <c r="C622" t="s">
        <v>33</v>
      </c>
      <c r="D622" s="2">
        <v>100000</v>
      </c>
      <c r="E622">
        <v>4</v>
      </c>
      <c r="F622" t="s">
        <v>19</v>
      </c>
      <c r="G622" t="s">
        <v>21</v>
      </c>
      <c r="H622" t="s">
        <v>15</v>
      </c>
      <c r="I622">
        <v>4</v>
      </c>
      <c r="J622" t="s">
        <v>22</v>
      </c>
      <c r="K622" t="s">
        <v>32</v>
      </c>
      <c r="L622">
        <v>41</v>
      </c>
      <c r="M622" t="str" cm="1">
        <f t="array" ref="M622">_xlfn.IFS(
L622&gt;50,"Old Age",
L622&gt;=31,"Middle Age",
L622&lt;31,"Young Age"
)</f>
        <v>Middle Age</v>
      </c>
      <c r="N622" t="s">
        <v>15</v>
      </c>
      <c r="O622" t="str" cm="1">
        <f t="array" ref="O622">_xlfn.IFS(D622&gt;120000, "High Income", D622&gt;=80000, "Average Income", D622&lt;80000, "Low Income")</f>
        <v>Average Income</v>
      </c>
      <c r="P622">
        <f>IF(Table24[[#This Row],[Purchased Bike]]="Yes",1,0)</f>
        <v>1</v>
      </c>
    </row>
    <row r="623" spans="1:16" hidden="1" x14ac:dyDescent="0.25">
      <c r="A623">
        <v>11200</v>
      </c>
      <c r="B623" t="s">
        <v>34</v>
      </c>
      <c r="C623" t="s">
        <v>34</v>
      </c>
      <c r="D623" s="2">
        <v>70000</v>
      </c>
      <c r="E623">
        <v>4</v>
      </c>
      <c r="F623" t="s">
        <v>13</v>
      </c>
      <c r="G623" t="s">
        <v>28</v>
      </c>
      <c r="H623" t="s">
        <v>15</v>
      </c>
      <c r="I623">
        <v>1</v>
      </c>
      <c r="J623" t="s">
        <v>26</v>
      </c>
      <c r="K623" t="s">
        <v>32</v>
      </c>
      <c r="L623">
        <v>58</v>
      </c>
      <c r="M623" t="str" cm="1">
        <f t="array" ref="M623">_xlfn.IFS(
L623&gt;50,"Old Age",
L623&gt;=31,"Middle Age",
L623&lt;31,"Young Age"
)</f>
        <v>Old Age</v>
      </c>
      <c r="N623" t="s">
        <v>18</v>
      </c>
      <c r="O623" t="str" cm="1">
        <f t="array" ref="O623">_xlfn.IFS(D623&gt;120000, "High Income", D623&gt;=80000, "Average Income", D623&lt;80000, "Low Income")</f>
        <v>Low Income</v>
      </c>
      <c r="P623">
        <f>IF(Table24[[#This Row],[Purchased Bike]]="Yes",1,0)</f>
        <v>0</v>
      </c>
    </row>
    <row r="624" spans="1:16" hidden="1" x14ac:dyDescent="0.25">
      <c r="A624">
        <v>25101</v>
      </c>
      <c r="B624" t="s">
        <v>34</v>
      </c>
      <c r="C624" t="s">
        <v>34</v>
      </c>
      <c r="D624" s="2">
        <v>60000</v>
      </c>
      <c r="E624">
        <v>5</v>
      </c>
      <c r="F624" t="s">
        <v>13</v>
      </c>
      <c r="G624" t="s">
        <v>21</v>
      </c>
      <c r="H624" t="s">
        <v>15</v>
      </c>
      <c r="I624">
        <v>1</v>
      </c>
      <c r="J624" t="s">
        <v>22</v>
      </c>
      <c r="K624" t="s">
        <v>32</v>
      </c>
      <c r="L624">
        <v>47</v>
      </c>
      <c r="M624" t="str" cm="1">
        <f t="array" ref="M624">_xlfn.IFS(
L624&gt;50,"Old Age",
L624&gt;=31,"Middle Age",
L624&lt;31,"Young Age"
)</f>
        <v>Middle Age</v>
      </c>
      <c r="N624" t="s">
        <v>18</v>
      </c>
      <c r="O624" t="str" cm="1">
        <f t="array" ref="O624">_xlfn.IFS(D624&gt;120000, "High Income", D624&gt;=80000, "Average Income", D624&lt;80000, "Low Income")</f>
        <v>Low Income</v>
      </c>
      <c r="P624">
        <f>IF(Table24[[#This Row],[Purchased Bike]]="Yes",1,0)</f>
        <v>0</v>
      </c>
    </row>
    <row r="625" spans="1:16" hidden="1" x14ac:dyDescent="0.25">
      <c r="A625">
        <v>21801</v>
      </c>
      <c r="B625" t="s">
        <v>34</v>
      </c>
      <c r="C625" t="s">
        <v>33</v>
      </c>
      <c r="D625" s="2">
        <v>70000</v>
      </c>
      <c r="E625">
        <v>4</v>
      </c>
      <c r="F625" t="s">
        <v>19</v>
      </c>
      <c r="G625" t="s">
        <v>21</v>
      </c>
      <c r="H625" t="s">
        <v>15</v>
      </c>
      <c r="I625">
        <v>1</v>
      </c>
      <c r="J625" t="s">
        <v>26</v>
      </c>
      <c r="K625" t="s">
        <v>32</v>
      </c>
      <c r="L625">
        <v>55</v>
      </c>
      <c r="M625" t="str" cm="1">
        <f t="array" ref="M625">_xlfn.IFS(
L625&gt;50,"Old Age",
L625&gt;=31,"Middle Age",
L625&lt;31,"Young Age"
)</f>
        <v>Old Age</v>
      </c>
      <c r="N625" t="s">
        <v>18</v>
      </c>
      <c r="O625" t="str" cm="1">
        <f t="array" ref="O625">_xlfn.IFS(D625&gt;120000, "High Income", D625&gt;=80000, "Average Income", D625&lt;80000, "Low Income")</f>
        <v>Low Income</v>
      </c>
      <c r="P625">
        <f>IF(Table24[[#This Row],[Purchased Bike]]="Yes",1,0)</f>
        <v>0</v>
      </c>
    </row>
    <row r="626" spans="1:16" hidden="1" x14ac:dyDescent="0.25">
      <c r="A626">
        <v>25943</v>
      </c>
      <c r="B626" t="s">
        <v>35</v>
      </c>
      <c r="C626" t="s">
        <v>33</v>
      </c>
      <c r="D626" s="2">
        <v>70000</v>
      </c>
      <c r="E626">
        <v>0</v>
      </c>
      <c r="F626" t="s">
        <v>19</v>
      </c>
      <c r="G626" t="s">
        <v>14</v>
      </c>
      <c r="H626" t="s">
        <v>18</v>
      </c>
      <c r="I626">
        <v>2</v>
      </c>
      <c r="J626" t="s">
        <v>16</v>
      </c>
      <c r="K626" t="s">
        <v>32</v>
      </c>
      <c r="L626">
        <v>27</v>
      </c>
      <c r="M626" t="str" cm="1">
        <f t="array" ref="M626">_xlfn.IFS(
L626&gt;50,"Old Age",
L626&gt;=31,"Middle Age",
L626&lt;31,"Young Age"
)</f>
        <v>Young Age</v>
      </c>
      <c r="N626" t="s">
        <v>15</v>
      </c>
      <c r="O626" t="str" cm="1">
        <f t="array" ref="O626">_xlfn.IFS(D626&gt;120000, "High Income", D626&gt;=80000, "Average Income", D626&lt;80000, "Low Income")</f>
        <v>Low Income</v>
      </c>
      <c r="P626">
        <f>IF(Table24[[#This Row],[Purchased Bike]]="Yes",1,0)</f>
        <v>1</v>
      </c>
    </row>
    <row r="627" spans="1:16" hidden="1" x14ac:dyDescent="0.25">
      <c r="A627">
        <v>22127</v>
      </c>
      <c r="B627" t="s">
        <v>34</v>
      </c>
      <c r="C627" t="s">
        <v>34</v>
      </c>
      <c r="D627" s="2">
        <v>60000</v>
      </c>
      <c r="E627">
        <v>3</v>
      </c>
      <c r="F627" t="s">
        <v>31</v>
      </c>
      <c r="G627" t="s">
        <v>28</v>
      </c>
      <c r="H627" t="s">
        <v>15</v>
      </c>
      <c r="I627">
        <v>2</v>
      </c>
      <c r="J627" t="s">
        <v>26</v>
      </c>
      <c r="K627" t="s">
        <v>32</v>
      </c>
      <c r="L627">
        <v>67</v>
      </c>
      <c r="M627" t="str" cm="1">
        <f t="array" ref="M627">_xlfn.IFS(
L627&gt;50,"Old Age",
L627&gt;=31,"Middle Age",
L627&lt;31,"Young Age"
)</f>
        <v>Old Age</v>
      </c>
      <c r="N627" t="s">
        <v>18</v>
      </c>
      <c r="O627" t="str" cm="1">
        <f t="array" ref="O627">_xlfn.IFS(D627&gt;120000, "High Income", D627&gt;=80000, "Average Income", D627&lt;80000, "Low Income")</f>
        <v>Low Income</v>
      </c>
      <c r="P627">
        <f>IF(Table24[[#This Row],[Purchased Bike]]="Yes",1,0)</f>
        <v>0</v>
      </c>
    </row>
    <row r="628" spans="1:16" hidden="1" x14ac:dyDescent="0.25">
      <c r="A628">
        <v>20414</v>
      </c>
      <c r="B628" t="s">
        <v>34</v>
      </c>
      <c r="C628" t="s">
        <v>33</v>
      </c>
      <c r="D628" s="2">
        <v>60000</v>
      </c>
      <c r="E628">
        <v>0</v>
      </c>
      <c r="F628" t="s">
        <v>19</v>
      </c>
      <c r="G628" t="s">
        <v>14</v>
      </c>
      <c r="H628" t="s">
        <v>15</v>
      </c>
      <c r="I628">
        <v>2</v>
      </c>
      <c r="J628" t="s">
        <v>23</v>
      </c>
      <c r="K628" t="s">
        <v>32</v>
      </c>
      <c r="L628">
        <v>29</v>
      </c>
      <c r="M628" t="str" cm="1">
        <f t="array" ref="M628">_xlfn.IFS(
L628&gt;50,"Old Age",
L628&gt;=31,"Middle Age",
L628&lt;31,"Young Age"
)</f>
        <v>Young Age</v>
      </c>
      <c r="N628" t="s">
        <v>18</v>
      </c>
      <c r="O628" t="str" cm="1">
        <f t="array" ref="O628">_xlfn.IFS(D628&gt;120000, "High Income", D628&gt;=80000, "Average Income", D628&lt;80000, "Low Income")</f>
        <v>Low Income</v>
      </c>
      <c r="P628">
        <f>IF(Table24[[#This Row],[Purchased Bike]]="Yes",1,0)</f>
        <v>0</v>
      </c>
    </row>
    <row r="629" spans="1:16" hidden="1" x14ac:dyDescent="0.25">
      <c r="A629">
        <v>23672</v>
      </c>
      <c r="B629" t="s">
        <v>34</v>
      </c>
      <c r="C629" t="s">
        <v>33</v>
      </c>
      <c r="D629" s="2">
        <v>60000</v>
      </c>
      <c r="E629">
        <v>3</v>
      </c>
      <c r="F629" t="s">
        <v>31</v>
      </c>
      <c r="G629" t="s">
        <v>28</v>
      </c>
      <c r="H629" t="s">
        <v>15</v>
      </c>
      <c r="I629">
        <v>2</v>
      </c>
      <c r="J629" t="s">
        <v>26</v>
      </c>
      <c r="K629" t="s">
        <v>32</v>
      </c>
      <c r="L629">
        <v>67</v>
      </c>
      <c r="M629" t="str" cm="1">
        <f t="array" ref="M629">_xlfn.IFS(
L629&gt;50,"Old Age",
L629&gt;=31,"Middle Age",
L629&lt;31,"Young Age"
)</f>
        <v>Old Age</v>
      </c>
      <c r="N629" t="s">
        <v>18</v>
      </c>
      <c r="O629" t="str" cm="1">
        <f t="array" ref="O629">_xlfn.IFS(D629&gt;120000, "High Income", D629&gt;=80000, "Average Income", D629&lt;80000, "Low Income")</f>
        <v>Low Income</v>
      </c>
      <c r="P629">
        <f>IF(Table24[[#This Row],[Purchased Bike]]="Yes",1,0)</f>
        <v>0</v>
      </c>
    </row>
    <row r="630" spans="1:16" hidden="1" x14ac:dyDescent="0.25">
      <c r="A630">
        <v>29255</v>
      </c>
      <c r="B630" t="s">
        <v>35</v>
      </c>
      <c r="C630" t="s">
        <v>34</v>
      </c>
      <c r="D630" s="2">
        <v>80000</v>
      </c>
      <c r="E630">
        <v>3</v>
      </c>
      <c r="F630" t="s">
        <v>19</v>
      </c>
      <c r="G630" t="s">
        <v>21</v>
      </c>
      <c r="H630" t="s">
        <v>18</v>
      </c>
      <c r="I630">
        <v>1</v>
      </c>
      <c r="J630" t="s">
        <v>26</v>
      </c>
      <c r="K630" t="s">
        <v>32</v>
      </c>
      <c r="L630">
        <v>51</v>
      </c>
      <c r="M630" t="str" cm="1">
        <f t="array" ref="M630">_xlfn.IFS(
L630&gt;50,"Old Age",
L630&gt;=31,"Middle Age",
L630&lt;31,"Young Age"
)</f>
        <v>Old Age</v>
      </c>
      <c r="N630" t="s">
        <v>15</v>
      </c>
      <c r="O630" t="str" cm="1">
        <f t="array" ref="O630">_xlfn.IFS(D630&gt;120000, "High Income", D630&gt;=80000, "Average Income", D630&lt;80000, "Low Income")</f>
        <v>Average Income</v>
      </c>
      <c r="P630">
        <f>IF(Table24[[#This Row],[Purchased Bike]]="Yes",1,0)</f>
        <v>1</v>
      </c>
    </row>
    <row r="631" spans="1:16" hidden="1" x14ac:dyDescent="0.25">
      <c r="A631">
        <v>28815</v>
      </c>
      <c r="B631" t="s">
        <v>34</v>
      </c>
      <c r="C631" t="s">
        <v>33</v>
      </c>
      <c r="D631" s="2">
        <v>50000</v>
      </c>
      <c r="E631">
        <v>1</v>
      </c>
      <c r="F631" t="s">
        <v>31</v>
      </c>
      <c r="G631" t="s">
        <v>14</v>
      </c>
      <c r="H631" t="s">
        <v>15</v>
      </c>
      <c r="I631">
        <v>0</v>
      </c>
      <c r="J631" t="s">
        <v>16</v>
      </c>
      <c r="K631" t="s">
        <v>32</v>
      </c>
      <c r="L631">
        <v>35</v>
      </c>
      <c r="M631" t="str" cm="1">
        <f t="array" ref="M631">_xlfn.IFS(
L631&gt;50,"Old Age",
L631&gt;=31,"Middle Age",
L631&lt;31,"Young Age"
)</f>
        <v>Middle Age</v>
      </c>
      <c r="N631" t="s">
        <v>18</v>
      </c>
      <c r="O631" t="str" cm="1">
        <f t="array" ref="O631">_xlfn.IFS(D631&gt;120000, "High Income", D631&gt;=80000, "Average Income", D631&lt;80000, "Low Income")</f>
        <v>Low Income</v>
      </c>
      <c r="P631">
        <f>IF(Table24[[#This Row],[Purchased Bike]]="Yes",1,0)</f>
        <v>0</v>
      </c>
    </row>
    <row r="632" spans="1:16" hidden="1" x14ac:dyDescent="0.25">
      <c r="A632">
        <v>27753</v>
      </c>
      <c r="B632" t="s">
        <v>34</v>
      </c>
      <c r="C632" t="s">
        <v>34</v>
      </c>
      <c r="D632" s="2">
        <v>40000</v>
      </c>
      <c r="E632">
        <v>0</v>
      </c>
      <c r="F632" t="s">
        <v>27</v>
      </c>
      <c r="G632" t="s">
        <v>14</v>
      </c>
      <c r="H632" t="s">
        <v>18</v>
      </c>
      <c r="I632">
        <v>2</v>
      </c>
      <c r="J632" t="s">
        <v>26</v>
      </c>
      <c r="K632" t="s">
        <v>32</v>
      </c>
      <c r="L632">
        <v>30</v>
      </c>
      <c r="M632" t="str" cm="1">
        <f t="array" ref="M632">_xlfn.IFS(
L632&gt;50,"Old Age",
L632&gt;=31,"Middle Age",
L632&lt;31,"Young Age"
)</f>
        <v>Young Age</v>
      </c>
      <c r="N632" t="s">
        <v>18</v>
      </c>
      <c r="O632" t="str" cm="1">
        <f t="array" ref="O632">_xlfn.IFS(D632&gt;120000, "High Income", D632&gt;=80000, "Average Income", D632&lt;80000, "Low Income")</f>
        <v>Low Income</v>
      </c>
      <c r="P632">
        <f>IF(Table24[[#This Row],[Purchased Bike]]="Yes",1,0)</f>
        <v>0</v>
      </c>
    </row>
    <row r="633" spans="1:16" hidden="1" x14ac:dyDescent="0.25">
      <c r="A633">
        <v>27643</v>
      </c>
      <c r="B633" t="s">
        <v>35</v>
      </c>
      <c r="C633" t="s">
        <v>34</v>
      </c>
      <c r="D633" s="2">
        <v>70000</v>
      </c>
      <c r="E633">
        <v>5</v>
      </c>
      <c r="F633" t="s">
        <v>19</v>
      </c>
      <c r="G633" t="s">
        <v>21</v>
      </c>
      <c r="H633" t="s">
        <v>15</v>
      </c>
      <c r="I633">
        <v>3</v>
      </c>
      <c r="J633" t="s">
        <v>22</v>
      </c>
      <c r="K633" t="s">
        <v>32</v>
      </c>
      <c r="L633">
        <v>44</v>
      </c>
      <c r="M633" t="str" cm="1">
        <f t="array" ref="M633">_xlfn.IFS(
L633&gt;50,"Old Age",
L633&gt;=31,"Middle Age",
L633&lt;31,"Young Age"
)</f>
        <v>Middle Age</v>
      </c>
      <c r="N633" t="s">
        <v>18</v>
      </c>
      <c r="O633" t="str" cm="1">
        <f t="array" ref="O633">_xlfn.IFS(D633&gt;120000, "High Income", D633&gt;=80000, "Average Income", D633&lt;80000, "Low Income")</f>
        <v>Low Income</v>
      </c>
      <c r="P633">
        <f>IF(Table24[[#This Row],[Purchased Bike]]="Yes",1,0)</f>
        <v>0</v>
      </c>
    </row>
    <row r="634" spans="1:16" hidden="1" x14ac:dyDescent="0.25">
      <c r="A634">
        <v>13754</v>
      </c>
      <c r="B634" t="s">
        <v>35</v>
      </c>
      <c r="C634" t="s">
        <v>33</v>
      </c>
      <c r="D634" s="2">
        <v>80000</v>
      </c>
      <c r="E634">
        <v>4</v>
      </c>
      <c r="F634" t="s">
        <v>31</v>
      </c>
      <c r="G634" t="s">
        <v>14</v>
      </c>
      <c r="H634" t="s">
        <v>15</v>
      </c>
      <c r="I634">
        <v>0</v>
      </c>
      <c r="J634" t="s">
        <v>26</v>
      </c>
      <c r="K634" t="s">
        <v>32</v>
      </c>
      <c r="L634">
        <v>48</v>
      </c>
      <c r="M634" t="str" cm="1">
        <f t="array" ref="M634">_xlfn.IFS(
L634&gt;50,"Old Age",
L634&gt;=31,"Middle Age",
L634&lt;31,"Young Age"
)</f>
        <v>Middle Age</v>
      </c>
      <c r="N634" t="s">
        <v>18</v>
      </c>
      <c r="O634" t="str" cm="1">
        <f t="array" ref="O634">_xlfn.IFS(D634&gt;120000, "High Income", D634&gt;=80000, "Average Income", D634&lt;80000, "Low Income")</f>
        <v>Average Income</v>
      </c>
      <c r="P634">
        <f>IF(Table24[[#This Row],[Purchased Bike]]="Yes",1,0)</f>
        <v>0</v>
      </c>
    </row>
    <row r="635" spans="1:16" x14ac:dyDescent="0.25">
      <c r="A635">
        <v>22088</v>
      </c>
      <c r="B635" t="s">
        <v>34</v>
      </c>
      <c r="C635" t="s">
        <v>33</v>
      </c>
      <c r="D635" s="2">
        <v>130000</v>
      </c>
      <c r="E635">
        <v>1</v>
      </c>
      <c r="F635" t="s">
        <v>13</v>
      </c>
      <c r="G635" t="s">
        <v>28</v>
      </c>
      <c r="H635" t="s">
        <v>15</v>
      </c>
      <c r="I635">
        <v>2</v>
      </c>
      <c r="J635" t="s">
        <v>16</v>
      </c>
      <c r="K635" t="s">
        <v>32</v>
      </c>
      <c r="L635">
        <v>45</v>
      </c>
      <c r="M635" t="str" cm="1">
        <f t="array" ref="M635">_xlfn.IFS(
L635&gt;50,"Old Age",
L635&gt;=31,"Middle Age",
L635&lt;31,"Young Age"
)</f>
        <v>Middle Age</v>
      </c>
      <c r="N635" t="s">
        <v>15</v>
      </c>
      <c r="O635" t="str" cm="1">
        <f t="array" ref="O635">_xlfn.IFS(D635&gt;120000, "High Income", D635&gt;=80000, "Average Income", D635&lt;80000, "Low Income")</f>
        <v>High Income</v>
      </c>
      <c r="P635">
        <f>IF(Table24[[#This Row],[Purchased Bike]]="Yes",1,0)</f>
        <v>1</v>
      </c>
    </row>
    <row r="636" spans="1:16" hidden="1" x14ac:dyDescent="0.25">
      <c r="A636">
        <v>27388</v>
      </c>
      <c r="B636" t="s">
        <v>34</v>
      </c>
      <c r="C636" t="s">
        <v>34</v>
      </c>
      <c r="D636" s="2">
        <v>60000</v>
      </c>
      <c r="E636">
        <v>3</v>
      </c>
      <c r="F636" t="s">
        <v>13</v>
      </c>
      <c r="G636" t="s">
        <v>28</v>
      </c>
      <c r="H636" t="s">
        <v>18</v>
      </c>
      <c r="I636">
        <v>2</v>
      </c>
      <c r="J636" t="s">
        <v>26</v>
      </c>
      <c r="K636" t="s">
        <v>32</v>
      </c>
      <c r="L636">
        <v>66</v>
      </c>
      <c r="M636" t="str" cm="1">
        <f t="array" ref="M636">_xlfn.IFS(
L636&gt;50,"Old Age",
L636&gt;=31,"Middle Age",
L636&lt;31,"Young Age"
)</f>
        <v>Old Age</v>
      </c>
      <c r="N636" t="s">
        <v>18</v>
      </c>
      <c r="O636" t="str" cm="1">
        <f t="array" ref="O636">_xlfn.IFS(D636&gt;120000, "High Income", D636&gt;=80000, "Average Income", D636&lt;80000, "Low Income")</f>
        <v>Low Income</v>
      </c>
      <c r="P636">
        <f>IF(Table24[[#This Row],[Purchased Bike]]="Yes",1,0)</f>
        <v>0</v>
      </c>
    </row>
    <row r="637" spans="1:16" hidden="1" x14ac:dyDescent="0.25">
      <c r="A637">
        <v>24745</v>
      </c>
      <c r="B637" t="s">
        <v>35</v>
      </c>
      <c r="C637" t="s">
        <v>33</v>
      </c>
      <c r="D637" s="2">
        <v>30000</v>
      </c>
      <c r="E637">
        <v>2</v>
      </c>
      <c r="F637" t="s">
        <v>27</v>
      </c>
      <c r="G637" t="s">
        <v>14</v>
      </c>
      <c r="H637" t="s">
        <v>18</v>
      </c>
      <c r="I637">
        <v>2</v>
      </c>
      <c r="J637" t="s">
        <v>16</v>
      </c>
      <c r="K637" t="s">
        <v>32</v>
      </c>
      <c r="L637">
        <v>49</v>
      </c>
      <c r="M637" t="str" cm="1">
        <f t="array" ref="M637">_xlfn.IFS(
L637&gt;50,"Old Age",
L637&gt;=31,"Middle Age",
L637&lt;31,"Young Age"
)</f>
        <v>Middle Age</v>
      </c>
      <c r="N637" t="s">
        <v>18</v>
      </c>
      <c r="O637" t="str" cm="1">
        <f t="array" ref="O637">_xlfn.IFS(D637&gt;120000, "High Income", D637&gt;=80000, "Average Income", D637&lt;80000, "Low Income")</f>
        <v>Low Income</v>
      </c>
      <c r="P637">
        <f>IF(Table24[[#This Row],[Purchased Bike]]="Yes",1,0)</f>
        <v>0</v>
      </c>
    </row>
    <row r="638" spans="1:16" x14ac:dyDescent="0.25">
      <c r="A638">
        <v>29237</v>
      </c>
      <c r="B638" t="s">
        <v>35</v>
      </c>
      <c r="C638" t="s">
        <v>33</v>
      </c>
      <c r="D638" s="2">
        <v>120000</v>
      </c>
      <c r="E638">
        <v>4</v>
      </c>
      <c r="F638" t="s">
        <v>19</v>
      </c>
      <c r="G638" t="s">
        <v>21</v>
      </c>
      <c r="H638" t="s">
        <v>15</v>
      </c>
      <c r="I638">
        <v>3</v>
      </c>
      <c r="J638" t="s">
        <v>23</v>
      </c>
      <c r="K638" t="s">
        <v>32</v>
      </c>
      <c r="L638">
        <v>43</v>
      </c>
      <c r="M638" t="str" cm="1">
        <f t="array" ref="M638">_xlfn.IFS(
L638&gt;50,"Old Age",
L638&gt;=31,"Middle Age",
L638&lt;31,"Young Age"
)</f>
        <v>Middle Age</v>
      </c>
      <c r="N638" t="s">
        <v>15</v>
      </c>
      <c r="O638" t="str" cm="1">
        <f t="array" ref="O638">_xlfn.IFS(D638&gt;120000, "High Income", D638&gt;=80000, "Average Income", D638&lt;80000, "Low Income")</f>
        <v>Average Income</v>
      </c>
      <c r="P638">
        <f>IF(Table24[[#This Row],[Purchased Bike]]="Yes",1,0)</f>
        <v>1</v>
      </c>
    </row>
    <row r="639" spans="1:16" hidden="1" x14ac:dyDescent="0.25">
      <c r="A639">
        <v>15272</v>
      </c>
      <c r="B639" t="s">
        <v>35</v>
      </c>
      <c r="C639" t="s">
        <v>34</v>
      </c>
      <c r="D639" s="2">
        <v>40000</v>
      </c>
      <c r="E639">
        <v>0</v>
      </c>
      <c r="F639" t="s">
        <v>27</v>
      </c>
      <c r="G639" t="s">
        <v>14</v>
      </c>
      <c r="H639" t="s">
        <v>18</v>
      </c>
      <c r="I639">
        <v>2</v>
      </c>
      <c r="J639" t="s">
        <v>26</v>
      </c>
      <c r="K639" t="s">
        <v>32</v>
      </c>
      <c r="L639">
        <v>30</v>
      </c>
      <c r="M639" t="str" cm="1">
        <f t="array" ref="M639">_xlfn.IFS(
L639&gt;50,"Old Age",
L639&gt;=31,"Middle Age",
L639&lt;31,"Young Age"
)</f>
        <v>Young Age</v>
      </c>
      <c r="N639" t="s">
        <v>18</v>
      </c>
      <c r="O639" t="str" cm="1">
        <f t="array" ref="O639">_xlfn.IFS(D639&gt;120000, "High Income", D639&gt;=80000, "Average Income", D639&lt;80000, "Low Income")</f>
        <v>Low Income</v>
      </c>
      <c r="P639">
        <f>IF(Table24[[#This Row],[Purchased Bike]]="Yes",1,0)</f>
        <v>0</v>
      </c>
    </row>
    <row r="640" spans="1:16" hidden="1" x14ac:dyDescent="0.25">
      <c r="A640">
        <v>18949</v>
      </c>
      <c r="B640" t="s">
        <v>35</v>
      </c>
      <c r="C640" t="s">
        <v>34</v>
      </c>
      <c r="D640" s="2">
        <v>70000</v>
      </c>
      <c r="E640">
        <v>0</v>
      </c>
      <c r="F640" t="s">
        <v>31</v>
      </c>
      <c r="G640" t="s">
        <v>28</v>
      </c>
      <c r="H640" t="s">
        <v>15</v>
      </c>
      <c r="I640">
        <v>2</v>
      </c>
      <c r="J640" t="s">
        <v>23</v>
      </c>
      <c r="K640" t="s">
        <v>32</v>
      </c>
      <c r="L640">
        <v>74</v>
      </c>
      <c r="M640" t="str" cm="1">
        <f t="array" ref="M640">_xlfn.IFS(
L640&gt;50,"Old Age",
L640&gt;=31,"Middle Age",
L640&lt;31,"Young Age"
)</f>
        <v>Old Age</v>
      </c>
      <c r="N640" t="s">
        <v>15</v>
      </c>
      <c r="O640" t="str" cm="1">
        <f t="array" ref="O640">_xlfn.IFS(D640&gt;120000, "High Income", D640&gt;=80000, "Average Income", D640&lt;80000, "Low Income")</f>
        <v>Low Income</v>
      </c>
      <c r="P640">
        <f>IF(Table24[[#This Row],[Purchased Bike]]="Yes",1,0)</f>
        <v>1</v>
      </c>
    </row>
    <row r="641" spans="1:16" hidden="1" x14ac:dyDescent="0.25">
      <c r="A641">
        <v>14507</v>
      </c>
      <c r="B641" t="s">
        <v>34</v>
      </c>
      <c r="C641" t="s">
        <v>34</v>
      </c>
      <c r="D641" s="2">
        <v>100000</v>
      </c>
      <c r="E641">
        <v>2</v>
      </c>
      <c r="F641" t="s">
        <v>31</v>
      </c>
      <c r="G641" t="s">
        <v>28</v>
      </c>
      <c r="H641" t="s">
        <v>15</v>
      </c>
      <c r="I641">
        <v>3</v>
      </c>
      <c r="J641" t="s">
        <v>26</v>
      </c>
      <c r="K641" t="s">
        <v>32</v>
      </c>
      <c r="L641">
        <v>65</v>
      </c>
      <c r="M641" t="str" cm="1">
        <f t="array" ref="M641">_xlfn.IFS(
L641&gt;50,"Old Age",
L641&gt;=31,"Middle Age",
L641&lt;31,"Young Age"
)</f>
        <v>Old Age</v>
      </c>
      <c r="N641" t="s">
        <v>18</v>
      </c>
      <c r="O641" t="str" cm="1">
        <f t="array" ref="O641">_xlfn.IFS(D641&gt;120000, "High Income", D641&gt;=80000, "Average Income", D641&lt;80000, "Low Income")</f>
        <v>Average Income</v>
      </c>
      <c r="P641">
        <f>IF(Table24[[#This Row],[Purchased Bike]]="Yes",1,0)</f>
        <v>0</v>
      </c>
    </row>
    <row r="642" spans="1:16" hidden="1" x14ac:dyDescent="0.25">
      <c r="A642">
        <v>25886</v>
      </c>
      <c r="B642" t="s">
        <v>34</v>
      </c>
      <c r="C642" t="s">
        <v>33</v>
      </c>
      <c r="D642" s="2">
        <v>60000</v>
      </c>
      <c r="E642">
        <v>2</v>
      </c>
      <c r="F642" t="s">
        <v>19</v>
      </c>
      <c r="G642" t="s">
        <v>21</v>
      </c>
      <c r="H642" t="s">
        <v>15</v>
      </c>
      <c r="I642">
        <v>2</v>
      </c>
      <c r="J642" t="s">
        <v>22</v>
      </c>
      <c r="K642" t="s">
        <v>32</v>
      </c>
      <c r="L642">
        <v>56</v>
      </c>
      <c r="M642" t="str" cm="1">
        <f t="array" ref="M642">_xlfn.IFS(
L642&gt;50,"Old Age",
L642&gt;=31,"Middle Age",
L642&lt;31,"Young Age"
)</f>
        <v>Old Age</v>
      </c>
      <c r="N642" t="s">
        <v>15</v>
      </c>
      <c r="O642" t="str" cm="1">
        <f t="array" ref="O642">_xlfn.IFS(D642&gt;120000, "High Income", D642&gt;=80000, "Average Income", D642&lt;80000, "Low Income")</f>
        <v>Low Income</v>
      </c>
      <c r="P642">
        <f>IF(Table24[[#This Row],[Purchased Bike]]="Yes",1,0)</f>
        <v>1</v>
      </c>
    </row>
    <row r="643" spans="1:16" hidden="1" x14ac:dyDescent="0.25">
      <c r="A643">
        <v>21441</v>
      </c>
      <c r="B643" t="s">
        <v>34</v>
      </c>
      <c r="C643" t="s">
        <v>34</v>
      </c>
      <c r="D643" s="2">
        <v>50000</v>
      </c>
      <c r="E643">
        <v>4</v>
      </c>
      <c r="F643" t="s">
        <v>13</v>
      </c>
      <c r="G643" t="s">
        <v>28</v>
      </c>
      <c r="H643" t="s">
        <v>15</v>
      </c>
      <c r="I643">
        <v>2</v>
      </c>
      <c r="J643" t="s">
        <v>30</v>
      </c>
      <c r="K643" t="s">
        <v>32</v>
      </c>
      <c r="L643">
        <v>64</v>
      </c>
      <c r="M643" t="str" cm="1">
        <f t="array" ref="M643">_xlfn.IFS(
L643&gt;50,"Old Age",
L643&gt;=31,"Middle Age",
L643&lt;31,"Young Age"
)</f>
        <v>Old Age</v>
      </c>
      <c r="N643" t="s">
        <v>18</v>
      </c>
      <c r="O643" t="str" cm="1">
        <f t="array" ref="O643">_xlfn.IFS(D643&gt;120000, "High Income", D643&gt;=80000, "Average Income", D643&lt;80000, "Low Income")</f>
        <v>Low Income</v>
      </c>
      <c r="P643">
        <f>IF(Table24[[#This Row],[Purchased Bike]]="Yes",1,0)</f>
        <v>0</v>
      </c>
    </row>
    <row r="644" spans="1:16" x14ac:dyDescent="0.25">
      <c r="A644">
        <v>21741</v>
      </c>
      <c r="B644" t="s">
        <v>34</v>
      </c>
      <c r="C644" t="s">
        <v>33</v>
      </c>
      <c r="D644" s="2">
        <v>70000</v>
      </c>
      <c r="E644">
        <v>3</v>
      </c>
      <c r="F644" t="s">
        <v>19</v>
      </c>
      <c r="G644" t="s">
        <v>21</v>
      </c>
      <c r="H644" t="s">
        <v>15</v>
      </c>
      <c r="I644">
        <v>2</v>
      </c>
      <c r="J644" t="s">
        <v>23</v>
      </c>
      <c r="K644" t="s">
        <v>32</v>
      </c>
      <c r="L644">
        <v>50</v>
      </c>
      <c r="M644" t="str" cm="1">
        <f t="array" ref="M644">_xlfn.IFS(
L644&gt;50,"Old Age",
L644&gt;=31,"Middle Age",
L644&lt;31,"Young Age"
)</f>
        <v>Middle Age</v>
      </c>
      <c r="N644" t="s">
        <v>15</v>
      </c>
      <c r="O644" t="str" cm="1">
        <f t="array" ref="O644">_xlfn.IFS(D644&gt;120000, "High Income", D644&gt;=80000, "Average Income", D644&lt;80000, "Low Income")</f>
        <v>Low Income</v>
      </c>
      <c r="P644">
        <f>IF(Table24[[#This Row],[Purchased Bike]]="Yes",1,0)</f>
        <v>1</v>
      </c>
    </row>
    <row r="645" spans="1:16" x14ac:dyDescent="0.25">
      <c r="A645">
        <v>14572</v>
      </c>
      <c r="B645" t="s">
        <v>34</v>
      </c>
      <c r="C645" t="s">
        <v>33</v>
      </c>
      <c r="D645" s="2">
        <v>70000</v>
      </c>
      <c r="E645">
        <v>3</v>
      </c>
      <c r="F645" t="s">
        <v>31</v>
      </c>
      <c r="G645" t="s">
        <v>21</v>
      </c>
      <c r="H645" t="s">
        <v>15</v>
      </c>
      <c r="I645">
        <v>0</v>
      </c>
      <c r="J645" t="s">
        <v>22</v>
      </c>
      <c r="K645" t="s">
        <v>32</v>
      </c>
      <c r="L645">
        <v>35</v>
      </c>
      <c r="M645" t="str" cm="1">
        <f t="array" ref="M645">_xlfn.IFS(
L645&gt;50,"Old Age",
L645&gt;=31,"Middle Age",
L645&lt;31,"Young Age"
)</f>
        <v>Middle Age</v>
      </c>
      <c r="N645" t="s">
        <v>15</v>
      </c>
      <c r="O645" t="str" cm="1">
        <f t="array" ref="O645">_xlfn.IFS(D645&gt;120000, "High Income", D645&gt;=80000, "Average Income", D645&lt;80000, "Low Income")</f>
        <v>Low Income</v>
      </c>
      <c r="P645">
        <f>IF(Table24[[#This Row],[Purchased Bike]]="Yes",1,0)</f>
        <v>1</v>
      </c>
    </row>
    <row r="646" spans="1:16" hidden="1" x14ac:dyDescent="0.25">
      <c r="A646">
        <v>23368</v>
      </c>
      <c r="B646" t="s">
        <v>34</v>
      </c>
      <c r="C646" t="s">
        <v>33</v>
      </c>
      <c r="D646" s="2">
        <v>60000</v>
      </c>
      <c r="E646">
        <v>5</v>
      </c>
      <c r="F646" t="s">
        <v>13</v>
      </c>
      <c r="G646" t="s">
        <v>14</v>
      </c>
      <c r="H646" t="s">
        <v>15</v>
      </c>
      <c r="I646">
        <v>3</v>
      </c>
      <c r="J646" t="s">
        <v>30</v>
      </c>
      <c r="K646" t="s">
        <v>32</v>
      </c>
      <c r="L646">
        <v>41</v>
      </c>
      <c r="M646" t="str" cm="1">
        <f t="array" ref="M646">_xlfn.IFS(
L646&gt;50,"Old Age",
L646&gt;=31,"Middle Age",
L646&lt;31,"Young Age"
)</f>
        <v>Middle Age</v>
      </c>
      <c r="N646" t="s">
        <v>18</v>
      </c>
      <c r="O646" t="str" cm="1">
        <f t="array" ref="O646">_xlfn.IFS(D646&gt;120000, "High Income", D646&gt;=80000, "Average Income", D646&lt;80000, "Low Income")</f>
        <v>Low Income</v>
      </c>
      <c r="P646">
        <f>IF(Table24[[#This Row],[Purchased Bike]]="Yes",1,0)</f>
        <v>0</v>
      </c>
    </row>
    <row r="647" spans="1:16" hidden="1" x14ac:dyDescent="0.25">
      <c r="A647">
        <v>16217</v>
      </c>
      <c r="B647" t="s">
        <v>35</v>
      </c>
      <c r="C647" t="s">
        <v>33</v>
      </c>
      <c r="D647" s="2">
        <v>60000</v>
      </c>
      <c r="E647">
        <v>0</v>
      </c>
      <c r="F647" t="s">
        <v>31</v>
      </c>
      <c r="G647" t="s">
        <v>14</v>
      </c>
      <c r="H647" t="s">
        <v>15</v>
      </c>
      <c r="I647">
        <v>0</v>
      </c>
      <c r="J647" t="s">
        <v>16</v>
      </c>
      <c r="K647" t="s">
        <v>32</v>
      </c>
      <c r="L647">
        <v>39</v>
      </c>
      <c r="M647" t="str" cm="1">
        <f t="array" ref="M647">_xlfn.IFS(
L647&gt;50,"Old Age",
L647&gt;=31,"Middle Age",
L647&lt;31,"Young Age"
)</f>
        <v>Middle Age</v>
      </c>
      <c r="N647" t="s">
        <v>18</v>
      </c>
      <c r="O647" t="str" cm="1">
        <f t="array" ref="O647">_xlfn.IFS(D647&gt;120000, "High Income", D647&gt;=80000, "Average Income", D647&lt;80000, "Low Income")</f>
        <v>Low Income</v>
      </c>
      <c r="P647">
        <f>IF(Table24[[#This Row],[Purchased Bike]]="Yes",1,0)</f>
        <v>0</v>
      </c>
    </row>
    <row r="648" spans="1:16" hidden="1" x14ac:dyDescent="0.25">
      <c r="A648">
        <v>16247</v>
      </c>
      <c r="B648" t="s">
        <v>35</v>
      </c>
      <c r="C648" t="s">
        <v>33</v>
      </c>
      <c r="D648" s="2">
        <v>60000</v>
      </c>
      <c r="E648">
        <v>4</v>
      </c>
      <c r="F648" t="s">
        <v>31</v>
      </c>
      <c r="G648" t="s">
        <v>14</v>
      </c>
      <c r="H648" t="s">
        <v>18</v>
      </c>
      <c r="I648">
        <v>0</v>
      </c>
      <c r="J648" t="s">
        <v>26</v>
      </c>
      <c r="K648" t="s">
        <v>32</v>
      </c>
      <c r="L648">
        <v>47</v>
      </c>
      <c r="M648" t="str" cm="1">
        <f t="array" ref="M648">_xlfn.IFS(
L648&gt;50,"Old Age",
L648&gt;=31,"Middle Age",
L648&lt;31,"Young Age"
)</f>
        <v>Middle Age</v>
      </c>
      <c r="N648" t="s">
        <v>18</v>
      </c>
      <c r="O648" t="str" cm="1">
        <f t="array" ref="O648">_xlfn.IFS(D648&gt;120000, "High Income", D648&gt;=80000, "Average Income", D648&lt;80000, "Low Income")</f>
        <v>Low Income</v>
      </c>
      <c r="P648">
        <f>IF(Table24[[#This Row],[Purchased Bike]]="Yes",1,0)</f>
        <v>0</v>
      </c>
    </row>
    <row r="649" spans="1:16" hidden="1" x14ac:dyDescent="0.25">
      <c r="A649">
        <v>22010</v>
      </c>
      <c r="B649" t="s">
        <v>35</v>
      </c>
      <c r="C649" t="s">
        <v>34</v>
      </c>
      <c r="D649" s="2">
        <v>40000</v>
      </c>
      <c r="E649">
        <v>0</v>
      </c>
      <c r="F649" t="s">
        <v>27</v>
      </c>
      <c r="G649" t="s">
        <v>14</v>
      </c>
      <c r="H649" t="s">
        <v>15</v>
      </c>
      <c r="I649">
        <v>2</v>
      </c>
      <c r="J649" t="s">
        <v>23</v>
      </c>
      <c r="K649" t="s">
        <v>32</v>
      </c>
      <c r="L649">
        <v>31</v>
      </c>
      <c r="M649" t="str" cm="1">
        <f t="array" ref="M649">_xlfn.IFS(
L649&gt;50,"Old Age",
L649&gt;=31,"Middle Age",
L649&lt;31,"Young Age"
)</f>
        <v>Middle Age</v>
      </c>
      <c r="N649" t="s">
        <v>18</v>
      </c>
      <c r="O649" t="str" cm="1">
        <f t="array" ref="O649">_xlfn.IFS(D649&gt;120000, "High Income", D649&gt;=80000, "Average Income", D649&lt;80000, "Low Income")</f>
        <v>Low Income</v>
      </c>
      <c r="P649">
        <f>IF(Table24[[#This Row],[Purchased Bike]]="Yes",1,0)</f>
        <v>0</v>
      </c>
    </row>
    <row r="650" spans="1:16" hidden="1" x14ac:dyDescent="0.25">
      <c r="A650">
        <v>25872</v>
      </c>
      <c r="B650" t="s">
        <v>35</v>
      </c>
      <c r="C650" t="s">
        <v>33</v>
      </c>
      <c r="D650" s="2">
        <v>70000</v>
      </c>
      <c r="E650">
        <v>2</v>
      </c>
      <c r="F650" t="s">
        <v>13</v>
      </c>
      <c r="G650" t="s">
        <v>28</v>
      </c>
      <c r="H650" t="s">
        <v>18</v>
      </c>
      <c r="I650">
        <v>1</v>
      </c>
      <c r="J650" t="s">
        <v>22</v>
      </c>
      <c r="K650" t="s">
        <v>32</v>
      </c>
      <c r="L650">
        <v>58</v>
      </c>
      <c r="M650" t="str" cm="1">
        <f t="array" ref="M650">_xlfn.IFS(
L650&gt;50,"Old Age",
L650&gt;=31,"Middle Age",
L650&lt;31,"Young Age"
)</f>
        <v>Old Age</v>
      </c>
      <c r="N650" t="s">
        <v>15</v>
      </c>
      <c r="O650" t="str" cm="1">
        <f t="array" ref="O650">_xlfn.IFS(D650&gt;120000, "High Income", D650&gt;=80000, "Average Income", D650&lt;80000, "Low Income")</f>
        <v>Low Income</v>
      </c>
      <c r="P650">
        <f>IF(Table24[[#This Row],[Purchased Bike]]="Yes",1,0)</f>
        <v>1</v>
      </c>
    </row>
    <row r="651" spans="1:16" x14ac:dyDescent="0.25">
      <c r="A651">
        <v>19164</v>
      </c>
      <c r="B651" t="s">
        <v>35</v>
      </c>
      <c r="C651" t="s">
        <v>33</v>
      </c>
      <c r="D651" s="2">
        <v>70000</v>
      </c>
      <c r="E651">
        <v>0</v>
      </c>
      <c r="F651" t="s">
        <v>13</v>
      </c>
      <c r="G651" t="s">
        <v>21</v>
      </c>
      <c r="H651" t="s">
        <v>18</v>
      </c>
      <c r="I651">
        <v>1</v>
      </c>
      <c r="J651" t="s">
        <v>22</v>
      </c>
      <c r="K651" t="s">
        <v>32</v>
      </c>
      <c r="L651">
        <v>38</v>
      </c>
      <c r="M651" t="str" cm="1">
        <f t="array" ref="M651">_xlfn.IFS(
L651&gt;50,"Old Age",
L651&gt;=31,"Middle Age",
L651&lt;31,"Young Age"
)</f>
        <v>Middle Age</v>
      </c>
      <c r="N651" t="s">
        <v>15</v>
      </c>
      <c r="O651" t="str" cm="1">
        <f t="array" ref="O651">_xlfn.IFS(D651&gt;120000, "High Income", D651&gt;=80000, "Average Income", D651&lt;80000, "Low Income")</f>
        <v>Low Income</v>
      </c>
      <c r="P651">
        <f>IF(Table24[[#This Row],[Purchased Bike]]="Yes",1,0)</f>
        <v>1</v>
      </c>
    </row>
    <row r="652" spans="1:16" hidden="1" x14ac:dyDescent="0.25">
      <c r="A652">
        <v>18435</v>
      </c>
      <c r="B652" t="s">
        <v>35</v>
      </c>
      <c r="C652" t="s">
        <v>33</v>
      </c>
      <c r="D652" s="2">
        <v>70000</v>
      </c>
      <c r="E652">
        <v>5</v>
      </c>
      <c r="F652" t="s">
        <v>31</v>
      </c>
      <c r="G652" t="s">
        <v>28</v>
      </c>
      <c r="H652" t="s">
        <v>15</v>
      </c>
      <c r="I652">
        <v>2</v>
      </c>
      <c r="J652" t="s">
        <v>30</v>
      </c>
      <c r="K652" t="s">
        <v>32</v>
      </c>
      <c r="L652">
        <v>67</v>
      </c>
      <c r="M652" t="str" cm="1">
        <f t="array" ref="M652">_xlfn.IFS(
L652&gt;50,"Old Age",
L652&gt;=31,"Middle Age",
L652&lt;31,"Young Age"
)</f>
        <v>Old Age</v>
      </c>
      <c r="N652" t="s">
        <v>15</v>
      </c>
      <c r="O652" t="str" cm="1">
        <f t="array" ref="O652">_xlfn.IFS(D652&gt;120000, "High Income", D652&gt;=80000, "Average Income", D652&lt;80000, "Low Income")</f>
        <v>Low Income</v>
      </c>
      <c r="P652">
        <f>IF(Table24[[#This Row],[Purchased Bike]]="Yes",1,0)</f>
        <v>1</v>
      </c>
    </row>
    <row r="653" spans="1:16" x14ac:dyDescent="0.25">
      <c r="A653">
        <v>14284</v>
      </c>
      <c r="B653" t="s">
        <v>35</v>
      </c>
      <c r="C653" t="s">
        <v>34</v>
      </c>
      <c r="D653" s="2">
        <v>60000</v>
      </c>
      <c r="E653">
        <v>0</v>
      </c>
      <c r="F653" t="s">
        <v>19</v>
      </c>
      <c r="G653" t="s">
        <v>21</v>
      </c>
      <c r="H653" t="s">
        <v>18</v>
      </c>
      <c r="I653">
        <v>2</v>
      </c>
      <c r="J653" t="s">
        <v>26</v>
      </c>
      <c r="K653" t="s">
        <v>32</v>
      </c>
      <c r="L653">
        <v>32</v>
      </c>
      <c r="M653" t="str" cm="1">
        <f t="array" ref="M653">_xlfn.IFS(
L653&gt;50,"Old Age",
L653&gt;=31,"Middle Age",
L653&lt;31,"Young Age"
)</f>
        <v>Middle Age</v>
      </c>
      <c r="N653" t="s">
        <v>15</v>
      </c>
      <c r="O653" t="str" cm="1">
        <f t="array" ref="O653">_xlfn.IFS(D653&gt;120000, "High Income", D653&gt;=80000, "Average Income", D653&lt;80000, "Low Income")</f>
        <v>Low Income</v>
      </c>
      <c r="P653">
        <f>IF(Table24[[#This Row],[Purchased Bike]]="Yes",1,0)</f>
        <v>1</v>
      </c>
    </row>
    <row r="654" spans="1:16" hidden="1" x14ac:dyDescent="0.25">
      <c r="A654">
        <v>11287</v>
      </c>
      <c r="B654" t="s">
        <v>34</v>
      </c>
      <c r="C654" t="s">
        <v>34</v>
      </c>
      <c r="D654" s="2">
        <v>70000</v>
      </c>
      <c r="E654">
        <v>5</v>
      </c>
      <c r="F654" t="s">
        <v>19</v>
      </c>
      <c r="G654" t="s">
        <v>21</v>
      </c>
      <c r="H654" t="s">
        <v>18</v>
      </c>
      <c r="I654">
        <v>3</v>
      </c>
      <c r="J654" t="s">
        <v>23</v>
      </c>
      <c r="K654" t="s">
        <v>32</v>
      </c>
      <c r="L654">
        <v>45</v>
      </c>
      <c r="M654" t="str" cm="1">
        <f t="array" ref="M654">_xlfn.IFS(
L654&gt;50,"Old Age",
L654&gt;=31,"Middle Age",
L654&lt;31,"Young Age"
)</f>
        <v>Middle Age</v>
      </c>
      <c r="N654" t="s">
        <v>18</v>
      </c>
      <c r="O654" t="str" cm="1">
        <f t="array" ref="O654">_xlfn.IFS(D654&gt;120000, "High Income", D654&gt;=80000, "Average Income", D654&lt;80000, "Low Income")</f>
        <v>Low Income</v>
      </c>
      <c r="P654">
        <f>IF(Table24[[#This Row],[Purchased Bike]]="Yes",1,0)</f>
        <v>0</v>
      </c>
    </row>
    <row r="655" spans="1:16" x14ac:dyDescent="0.25">
      <c r="A655">
        <v>13066</v>
      </c>
      <c r="B655" t="s">
        <v>35</v>
      </c>
      <c r="C655" t="s">
        <v>34</v>
      </c>
      <c r="D655" s="2">
        <v>30000</v>
      </c>
      <c r="E655">
        <v>0</v>
      </c>
      <c r="F655" t="s">
        <v>27</v>
      </c>
      <c r="G655" t="s">
        <v>14</v>
      </c>
      <c r="H655" t="s">
        <v>18</v>
      </c>
      <c r="I655">
        <v>2</v>
      </c>
      <c r="J655" t="s">
        <v>26</v>
      </c>
      <c r="K655" t="s">
        <v>32</v>
      </c>
      <c r="L655">
        <v>31</v>
      </c>
      <c r="M655" t="str" cm="1">
        <f t="array" ref="M655">_xlfn.IFS(
L655&gt;50,"Old Age",
L655&gt;=31,"Middle Age",
L655&lt;31,"Young Age"
)</f>
        <v>Middle Age</v>
      </c>
      <c r="N655" t="s">
        <v>15</v>
      </c>
      <c r="O655" t="str" cm="1">
        <f t="array" ref="O655">_xlfn.IFS(D655&gt;120000, "High Income", D655&gt;=80000, "Average Income", D655&lt;80000, "Low Income")</f>
        <v>Low Income</v>
      </c>
      <c r="P655">
        <f>IF(Table24[[#This Row],[Purchased Bike]]="Yes",1,0)</f>
        <v>1</v>
      </c>
    </row>
    <row r="656" spans="1:16" x14ac:dyDescent="0.25">
      <c r="A656">
        <v>29106</v>
      </c>
      <c r="B656" t="s">
        <v>35</v>
      </c>
      <c r="C656" t="s">
        <v>34</v>
      </c>
      <c r="D656" s="2">
        <v>40000</v>
      </c>
      <c r="E656">
        <v>0</v>
      </c>
      <c r="F656" t="s">
        <v>27</v>
      </c>
      <c r="G656" t="s">
        <v>14</v>
      </c>
      <c r="H656" t="s">
        <v>18</v>
      </c>
      <c r="I656">
        <v>2</v>
      </c>
      <c r="J656" t="s">
        <v>26</v>
      </c>
      <c r="K656" t="s">
        <v>32</v>
      </c>
      <c r="L656">
        <v>31</v>
      </c>
      <c r="M656" t="str" cm="1">
        <f t="array" ref="M656">_xlfn.IFS(
L656&gt;50,"Old Age",
L656&gt;=31,"Middle Age",
L656&lt;31,"Young Age"
)</f>
        <v>Middle Age</v>
      </c>
      <c r="N656" t="s">
        <v>15</v>
      </c>
      <c r="O656" t="str" cm="1">
        <f t="array" ref="O656">_xlfn.IFS(D656&gt;120000, "High Income", D656&gt;=80000, "Average Income", D656&lt;80000, "Low Income")</f>
        <v>Low Income</v>
      </c>
      <c r="P656">
        <f>IF(Table24[[#This Row],[Purchased Bike]]="Yes",1,0)</f>
        <v>1</v>
      </c>
    </row>
    <row r="657" spans="1:16" hidden="1" x14ac:dyDescent="0.25">
      <c r="A657">
        <v>26236</v>
      </c>
      <c r="B657" t="s">
        <v>34</v>
      </c>
      <c r="C657" t="s">
        <v>33</v>
      </c>
      <c r="D657" s="2">
        <v>40000</v>
      </c>
      <c r="E657">
        <v>3</v>
      </c>
      <c r="F657" t="s">
        <v>19</v>
      </c>
      <c r="G657" t="s">
        <v>20</v>
      </c>
      <c r="H657" t="s">
        <v>15</v>
      </c>
      <c r="I657">
        <v>1</v>
      </c>
      <c r="J657" t="s">
        <v>16</v>
      </c>
      <c r="K657" t="s">
        <v>32</v>
      </c>
      <c r="L657">
        <v>31</v>
      </c>
      <c r="M657" t="str" cm="1">
        <f t="array" ref="M657">_xlfn.IFS(
L657&gt;50,"Old Age",
L657&gt;=31,"Middle Age",
L657&lt;31,"Young Age"
)</f>
        <v>Middle Age</v>
      </c>
      <c r="N657" t="s">
        <v>18</v>
      </c>
      <c r="O657" t="str" cm="1">
        <f t="array" ref="O657">_xlfn.IFS(D657&gt;120000, "High Income", D657&gt;=80000, "Average Income", D657&lt;80000, "Low Income")</f>
        <v>Low Income</v>
      </c>
      <c r="P657">
        <f>IF(Table24[[#This Row],[Purchased Bike]]="Yes",1,0)</f>
        <v>0</v>
      </c>
    </row>
    <row r="658" spans="1:16" hidden="1" x14ac:dyDescent="0.25">
      <c r="A658">
        <v>17531</v>
      </c>
      <c r="B658" t="s">
        <v>34</v>
      </c>
      <c r="C658" t="s">
        <v>34</v>
      </c>
      <c r="D658" s="2">
        <v>60000</v>
      </c>
      <c r="E658">
        <v>2</v>
      </c>
      <c r="F658" t="s">
        <v>27</v>
      </c>
      <c r="G658" t="s">
        <v>21</v>
      </c>
      <c r="H658" t="s">
        <v>18</v>
      </c>
      <c r="I658">
        <v>2</v>
      </c>
      <c r="J658" t="s">
        <v>23</v>
      </c>
      <c r="K658" t="s">
        <v>32</v>
      </c>
      <c r="L658">
        <v>50</v>
      </c>
      <c r="M658" t="str" cm="1">
        <f t="array" ref="M658">_xlfn.IFS(
L658&gt;50,"Old Age",
L658&gt;=31,"Middle Age",
L658&lt;31,"Young Age"
)</f>
        <v>Middle Age</v>
      </c>
      <c r="N658" t="s">
        <v>18</v>
      </c>
      <c r="O658" t="str" cm="1">
        <f t="array" ref="O658">_xlfn.IFS(D658&gt;120000, "High Income", D658&gt;=80000, "Average Income", D658&lt;80000, "Low Income")</f>
        <v>Low Income</v>
      </c>
      <c r="P658">
        <f>IF(Table24[[#This Row],[Purchased Bike]]="Yes",1,0)</f>
        <v>0</v>
      </c>
    </row>
    <row r="659" spans="1:16" hidden="1" x14ac:dyDescent="0.25">
      <c r="A659">
        <v>12964</v>
      </c>
      <c r="B659" t="s">
        <v>34</v>
      </c>
      <c r="C659" t="s">
        <v>34</v>
      </c>
      <c r="D659" s="2">
        <v>70000</v>
      </c>
      <c r="E659">
        <v>1</v>
      </c>
      <c r="F659" t="s">
        <v>19</v>
      </c>
      <c r="G659" t="s">
        <v>14</v>
      </c>
      <c r="H659" t="s">
        <v>15</v>
      </c>
      <c r="I659">
        <v>1</v>
      </c>
      <c r="J659" t="s">
        <v>16</v>
      </c>
      <c r="K659" t="s">
        <v>32</v>
      </c>
      <c r="L659">
        <v>44</v>
      </c>
      <c r="M659" t="str" cm="1">
        <f t="array" ref="M659">_xlfn.IFS(
L659&gt;50,"Old Age",
L659&gt;=31,"Middle Age",
L659&lt;31,"Young Age"
)</f>
        <v>Middle Age</v>
      </c>
      <c r="N659" t="s">
        <v>18</v>
      </c>
      <c r="O659" t="str" cm="1">
        <f t="array" ref="O659">_xlfn.IFS(D659&gt;120000, "High Income", D659&gt;=80000, "Average Income", D659&lt;80000, "Low Income")</f>
        <v>Low Income</v>
      </c>
      <c r="P659">
        <f>IF(Table24[[#This Row],[Purchased Bike]]="Yes",1,0)</f>
        <v>0</v>
      </c>
    </row>
    <row r="660" spans="1:16" x14ac:dyDescent="0.25">
      <c r="A660">
        <v>19133</v>
      </c>
      <c r="B660" t="s">
        <v>35</v>
      </c>
      <c r="C660" t="s">
        <v>34</v>
      </c>
      <c r="D660" s="2">
        <v>50000</v>
      </c>
      <c r="E660">
        <v>2</v>
      </c>
      <c r="F660" t="s">
        <v>13</v>
      </c>
      <c r="G660" t="s">
        <v>14</v>
      </c>
      <c r="H660" t="s">
        <v>15</v>
      </c>
      <c r="I660">
        <v>1</v>
      </c>
      <c r="J660" t="s">
        <v>22</v>
      </c>
      <c r="K660" t="s">
        <v>32</v>
      </c>
      <c r="L660">
        <v>38</v>
      </c>
      <c r="M660" t="str" cm="1">
        <f t="array" ref="M660">_xlfn.IFS(
L660&gt;50,"Old Age",
L660&gt;=31,"Middle Age",
L660&lt;31,"Young Age"
)</f>
        <v>Middle Age</v>
      </c>
      <c r="N660" t="s">
        <v>15</v>
      </c>
      <c r="O660" t="str" cm="1">
        <f t="array" ref="O660">_xlfn.IFS(D660&gt;120000, "High Income", D660&gt;=80000, "Average Income", D660&lt;80000, "Low Income")</f>
        <v>Low Income</v>
      </c>
      <c r="P660">
        <f>IF(Table24[[#This Row],[Purchased Bike]]="Yes",1,0)</f>
        <v>1</v>
      </c>
    </row>
    <row r="661" spans="1:16" hidden="1" x14ac:dyDescent="0.25">
      <c r="A661">
        <v>24643</v>
      </c>
      <c r="B661" t="s">
        <v>35</v>
      </c>
      <c r="C661" t="s">
        <v>33</v>
      </c>
      <c r="D661" s="2">
        <v>60000</v>
      </c>
      <c r="E661">
        <v>4</v>
      </c>
      <c r="F661" t="s">
        <v>13</v>
      </c>
      <c r="G661" t="s">
        <v>28</v>
      </c>
      <c r="H661" t="s">
        <v>15</v>
      </c>
      <c r="I661">
        <v>2</v>
      </c>
      <c r="J661" t="s">
        <v>30</v>
      </c>
      <c r="K661" t="s">
        <v>32</v>
      </c>
      <c r="L661">
        <v>63</v>
      </c>
      <c r="M661" t="str" cm="1">
        <f t="array" ref="M661">_xlfn.IFS(
L661&gt;50,"Old Age",
L661&gt;=31,"Middle Age",
L661&lt;31,"Young Age"
)</f>
        <v>Old Age</v>
      </c>
      <c r="N661" t="s">
        <v>18</v>
      </c>
      <c r="O661" t="str" cm="1">
        <f t="array" ref="O661">_xlfn.IFS(D661&gt;120000, "High Income", D661&gt;=80000, "Average Income", D661&lt;80000, "Low Income")</f>
        <v>Low Income</v>
      </c>
      <c r="P661">
        <f>IF(Table24[[#This Row],[Purchased Bike]]="Yes",1,0)</f>
        <v>0</v>
      </c>
    </row>
    <row r="662" spans="1:16" x14ac:dyDescent="0.25">
      <c r="A662">
        <v>21599</v>
      </c>
      <c r="B662" t="s">
        <v>34</v>
      </c>
      <c r="C662" t="s">
        <v>33</v>
      </c>
      <c r="D662" s="2">
        <v>60000</v>
      </c>
      <c r="E662">
        <v>1</v>
      </c>
      <c r="F662" t="s">
        <v>31</v>
      </c>
      <c r="G662" t="s">
        <v>21</v>
      </c>
      <c r="H662" t="s">
        <v>15</v>
      </c>
      <c r="I662">
        <v>0</v>
      </c>
      <c r="J662" t="s">
        <v>22</v>
      </c>
      <c r="K662" t="s">
        <v>32</v>
      </c>
      <c r="L662">
        <v>36</v>
      </c>
      <c r="M662" t="str" cm="1">
        <f t="array" ref="M662">_xlfn.IFS(
L662&gt;50,"Old Age",
L662&gt;=31,"Middle Age",
L662&lt;31,"Young Age"
)</f>
        <v>Middle Age</v>
      </c>
      <c r="N662" t="s">
        <v>15</v>
      </c>
      <c r="O662" t="str" cm="1">
        <f t="array" ref="O662">_xlfn.IFS(D662&gt;120000, "High Income", D662&gt;=80000, "Average Income", D662&lt;80000, "Low Income")</f>
        <v>Low Income</v>
      </c>
      <c r="P662">
        <f>IF(Table24[[#This Row],[Purchased Bike]]="Yes",1,0)</f>
        <v>1</v>
      </c>
    </row>
    <row r="663" spans="1:16" hidden="1" x14ac:dyDescent="0.25">
      <c r="A663">
        <v>22976</v>
      </c>
      <c r="B663" t="s">
        <v>35</v>
      </c>
      <c r="C663" t="s">
        <v>34</v>
      </c>
      <c r="D663" s="2">
        <v>40000</v>
      </c>
      <c r="E663">
        <v>0</v>
      </c>
      <c r="F663" t="s">
        <v>27</v>
      </c>
      <c r="G663" t="s">
        <v>14</v>
      </c>
      <c r="H663" t="s">
        <v>18</v>
      </c>
      <c r="I663">
        <v>2</v>
      </c>
      <c r="J663" t="s">
        <v>16</v>
      </c>
      <c r="K663" t="s">
        <v>32</v>
      </c>
      <c r="L663">
        <v>28</v>
      </c>
      <c r="M663" t="str" cm="1">
        <f t="array" ref="M663">_xlfn.IFS(
L663&gt;50,"Old Age",
L663&gt;=31,"Middle Age",
L663&lt;31,"Young Age"
)</f>
        <v>Young Age</v>
      </c>
      <c r="N663" t="s">
        <v>15</v>
      </c>
      <c r="O663" t="str" cm="1">
        <f t="array" ref="O663">_xlfn.IFS(D663&gt;120000, "High Income", D663&gt;=80000, "Average Income", D663&lt;80000, "Low Income")</f>
        <v>Low Income</v>
      </c>
      <c r="P663">
        <f>IF(Table24[[#This Row],[Purchased Bike]]="Yes",1,0)</f>
        <v>1</v>
      </c>
    </row>
    <row r="664" spans="1:16" hidden="1" x14ac:dyDescent="0.25">
      <c r="A664">
        <v>27637</v>
      </c>
      <c r="B664" t="s">
        <v>35</v>
      </c>
      <c r="C664" t="s">
        <v>33</v>
      </c>
      <c r="D664" s="2">
        <v>100000</v>
      </c>
      <c r="E664">
        <v>1</v>
      </c>
      <c r="F664" t="s">
        <v>19</v>
      </c>
      <c r="G664" t="s">
        <v>21</v>
      </c>
      <c r="H664" t="s">
        <v>18</v>
      </c>
      <c r="I664">
        <v>3</v>
      </c>
      <c r="J664" t="s">
        <v>26</v>
      </c>
      <c r="K664" t="s">
        <v>32</v>
      </c>
      <c r="L664">
        <v>44</v>
      </c>
      <c r="M664" t="str" cm="1">
        <f t="array" ref="M664">_xlfn.IFS(
L664&gt;50,"Old Age",
L664&gt;=31,"Middle Age",
L664&lt;31,"Young Age"
)</f>
        <v>Middle Age</v>
      </c>
      <c r="N664" t="s">
        <v>18</v>
      </c>
      <c r="O664" t="str" cm="1">
        <f t="array" ref="O664">_xlfn.IFS(D664&gt;120000, "High Income", D664&gt;=80000, "Average Income", D664&lt;80000, "Low Income")</f>
        <v>Average Income</v>
      </c>
      <c r="P664">
        <f>IF(Table24[[#This Row],[Purchased Bike]]="Yes",1,0)</f>
        <v>0</v>
      </c>
    </row>
    <row r="665" spans="1:16" hidden="1" x14ac:dyDescent="0.25">
      <c r="A665">
        <v>11890</v>
      </c>
      <c r="B665" t="s">
        <v>34</v>
      </c>
      <c r="C665" t="s">
        <v>33</v>
      </c>
      <c r="D665" s="2">
        <v>70000</v>
      </c>
      <c r="E665">
        <v>5</v>
      </c>
      <c r="F665" t="s">
        <v>31</v>
      </c>
      <c r="G665" t="s">
        <v>21</v>
      </c>
      <c r="H665" t="s">
        <v>15</v>
      </c>
      <c r="I665">
        <v>1</v>
      </c>
      <c r="J665" t="s">
        <v>16</v>
      </c>
      <c r="K665" t="s">
        <v>32</v>
      </c>
      <c r="L665">
        <v>47</v>
      </c>
      <c r="M665" t="str" cm="1">
        <f t="array" ref="M665">_xlfn.IFS(
L665&gt;50,"Old Age",
L665&gt;=31,"Middle Age",
L665&lt;31,"Young Age"
)</f>
        <v>Middle Age</v>
      </c>
      <c r="N665" t="s">
        <v>18</v>
      </c>
      <c r="O665" t="str" cm="1">
        <f t="array" ref="O665">_xlfn.IFS(D665&gt;120000, "High Income", D665&gt;=80000, "Average Income", D665&lt;80000, "Low Income")</f>
        <v>Low Income</v>
      </c>
      <c r="P665">
        <f>IF(Table24[[#This Row],[Purchased Bike]]="Yes",1,0)</f>
        <v>0</v>
      </c>
    </row>
    <row r="666" spans="1:16" x14ac:dyDescent="0.25">
      <c r="A666">
        <v>28580</v>
      </c>
      <c r="B666" t="s">
        <v>34</v>
      </c>
      <c r="C666" t="s">
        <v>33</v>
      </c>
      <c r="D666" s="2">
        <v>80000</v>
      </c>
      <c r="E666">
        <v>0</v>
      </c>
      <c r="F666" t="s">
        <v>31</v>
      </c>
      <c r="G666" t="s">
        <v>14</v>
      </c>
      <c r="H666" t="s">
        <v>15</v>
      </c>
      <c r="I666">
        <v>0</v>
      </c>
      <c r="J666" t="s">
        <v>26</v>
      </c>
      <c r="K666" t="s">
        <v>32</v>
      </c>
      <c r="L666">
        <v>40</v>
      </c>
      <c r="M666" t="str" cm="1">
        <f t="array" ref="M666">_xlfn.IFS(
L666&gt;50,"Old Age",
L666&gt;=31,"Middle Age",
L666&lt;31,"Young Age"
)</f>
        <v>Middle Age</v>
      </c>
      <c r="N666" t="s">
        <v>15</v>
      </c>
      <c r="O666" t="str" cm="1">
        <f t="array" ref="O666">_xlfn.IFS(D666&gt;120000, "High Income", D666&gt;=80000, "Average Income", D666&lt;80000, "Low Income")</f>
        <v>Average Income</v>
      </c>
      <c r="P666">
        <f>IF(Table24[[#This Row],[Purchased Bike]]="Yes",1,0)</f>
        <v>1</v>
      </c>
    </row>
    <row r="667" spans="1:16" hidden="1" x14ac:dyDescent="0.25">
      <c r="A667">
        <v>14443</v>
      </c>
      <c r="B667" t="s">
        <v>34</v>
      </c>
      <c r="C667" t="s">
        <v>34</v>
      </c>
      <c r="D667" s="2">
        <v>130000</v>
      </c>
      <c r="E667">
        <v>1</v>
      </c>
      <c r="F667" t="s">
        <v>31</v>
      </c>
      <c r="G667" t="s">
        <v>28</v>
      </c>
      <c r="H667" t="s">
        <v>15</v>
      </c>
      <c r="I667">
        <v>4</v>
      </c>
      <c r="J667" t="s">
        <v>16</v>
      </c>
      <c r="K667" t="s">
        <v>32</v>
      </c>
      <c r="L667">
        <v>40</v>
      </c>
      <c r="M667" t="str" cm="1">
        <f t="array" ref="M667">_xlfn.IFS(
L667&gt;50,"Old Age",
L667&gt;=31,"Middle Age",
L667&lt;31,"Young Age"
)</f>
        <v>Middle Age</v>
      </c>
      <c r="N667" t="s">
        <v>18</v>
      </c>
      <c r="O667" t="str" cm="1">
        <f t="array" ref="O667">_xlfn.IFS(D667&gt;120000, "High Income", D667&gt;=80000, "Average Income", D667&lt;80000, "Low Income")</f>
        <v>High Income</v>
      </c>
      <c r="P667">
        <f>IF(Table24[[#This Row],[Purchased Bike]]="Yes",1,0)</f>
        <v>0</v>
      </c>
    </row>
    <row r="668" spans="1:16" x14ac:dyDescent="0.25">
      <c r="A668">
        <v>17864</v>
      </c>
      <c r="B668" t="s">
        <v>34</v>
      </c>
      <c r="C668" t="s">
        <v>33</v>
      </c>
      <c r="D668" s="2">
        <v>60000</v>
      </c>
      <c r="E668">
        <v>1</v>
      </c>
      <c r="F668" t="s">
        <v>19</v>
      </c>
      <c r="G668" t="s">
        <v>14</v>
      </c>
      <c r="H668" t="s">
        <v>15</v>
      </c>
      <c r="I668">
        <v>1</v>
      </c>
      <c r="J668" t="s">
        <v>22</v>
      </c>
      <c r="K668" t="s">
        <v>32</v>
      </c>
      <c r="L668">
        <v>46</v>
      </c>
      <c r="M668" t="str" cm="1">
        <f t="array" ref="M668">_xlfn.IFS(
L668&gt;50,"Old Age",
L668&gt;=31,"Middle Age",
L668&lt;31,"Young Age"
)</f>
        <v>Middle Age</v>
      </c>
      <c r="N668" t="s">
        <v>15</v>
      </c>
      <c r="O668" t="str" cm="1">
        <f t="array" ref="O668">_xlfn.IFS(D668&gt;120000, "High Income", D668&gt;=80000, "Average Income", D668&lt;80000, "Low Income")</f>
        <v>Low Income</v>
      </c>
      <c r="P668">
        <f>IF(Table24[[#This Row],[Purchased Bike]]="Yes",1,0)</f>
        <v>1</v>
      </c>
    </row>
    <row r="669" spans="1:16" hidden="1" x14ac:dyDescent="0.25">
      <c r="A669">
        <v>20505</v>
      </c>
      <c r="B669" t="s">
        <v>34</v>
      </c>
      <c r="C669" t="s">
        <v>33</v>
      </c>
      <c r="D669" s="2">
        <v>40000</v>
      </c>
      <c r="E669">
        <v>5</v>
      </c>
      <c r="F669" t="s">
        <v>27</v>
      </c>
      <c r="G669" t="s">
        <v>21</v>
      </c>
      <c r="H669" t="s">
        <v>18</v>
      </c>
      <c r="I669">
        <v>2</v>
      </c>
      <c r="J669" t="s">
        <v>30</v>
      </c>
      <c r="K669" t="s">
        <v>32</v>
      </c>
      <c r="L669">
        <v>61</v>
      </c>
      <c r="M669" t="str" cm="1">
        <f t="array" ref="M669">_xlfn.IFS(
L669&gt;50,"Old Age",
L669&gt;=31,"Middle Age",
L669&lt;31,"Young Age"
)</f>
        <v>Old Age</v>
      </c>
      <c r="N669" t="s">
        <v>18</v>
      </c>
      <c r="O669" t="str" cm="1">
        <f t="array" ref="O669">_xlfn.IFS(D669&gt;120000, "High Income", D669&gt;=80000, "Average Income", D669&lt;80000, "Low Income")</f>
        <v>Low Income</v>
      </c>
      <c r="P669">
        <f>IF(Table24[[#This Row],[Purchased Bike]]="Yes",1,0)</f>
        <v>0</v>
      </c>
    </row>
    <row r="670" spans="1:16" hidden="1" x14ac:dyDescent="0.25">
      <c r="A670">
        <v>14592</v>
      </c>
      <c r="B670" t="s">
        <v>34</v>
      </c>
      <c r="C670" t="s">
        <v>33</v>
      </c>
      <c r="D670" s="2">
        <v>60000</v>
      </c>
      <c r="E670">
        <v>0</v>
      </c>
      <c r="F670" t="s">
        <v>31</v>
      </c>
      <c r="G670" t="s">
        <v>21</v>
      </c>
      <c r="H670" t="s">
        <v>15</v>
      </c>
      <c r="I670">
        <v>0</v>
      </c>
      <c r="J670" t="s">
        <v>16</v>
      </c>
      <c r="K670" t="s">
        <v>32</v>
      </c>
      <c r="L670">
        <v>40</v>
      </c>
      <c r="M670" t="str" cm="1">
        <f t="array" ref="M670">_xlfn.IFS(
L670&gt;50,"Old Age",
L670&gt;=31,"Middle Age",
L670&lt;31,"Young Age"
)</f>
        <v>Middle Age</v>
      </c>
      <c r="N670" t="s">
        <v>18</v>
      </c>
      <c r="O670" t="str" cm="1">
        <f t="array" ref="O670">_xlfn.IFS(D670&gt;120000, "High Income", D670&gt;=80000, "Average Income", D670&lt;80000, "Low Income")</f>
        <v>Low Income</v>
      </c>
      <c r="P670">
        <f>IF(Table24[[#This Row],[Purchased Bike]]="Yes",1,0)</f>
        <v>0</v>
      </c>
    </row>
    <row r="671" spans="1:16" hidden="1" x14ac:dyDescent="0.25">
      <c r="A671">
        <v>22227</v>
      </c>
      <c r="B671" t="s">
        <v>34</v>
      </c>
      <c r="C671" t="s">
        <v>33</v>
      </c>
      <c r="D671" s="2">
        <v>60000</v>
      </c>
      <c r="E671">
        <v>2</v>
      </c>
      <c r="F671" t="s">
        <v>27</v>
      </c>
      <c r="G671" t="s">
        <v>21</v>
      </c>
      <c r="H671" t="s">
        <v>15</v>
      </c>
      <c r="I671">
        <v>2</v>
      </c>
      <c r="J671" t="s">
        <v>23</v>
      </c>
      <c r="K671" t="s">
        <v>32</v>
      </c>
      <c r="L671">
        <v>50</v>
      </c>
      <c r="M671" t="str" cm="1">
        <f t="array" ref="M671">_xlfn.IFS(
L671&gt;50,"Old Age",
L671&gt;=31,"Middle Age",
L671&lt;31,"Young Age"
)</f>
        <v>Middle Age</v>
      </c>
      <c r="N671" t="s">
        <v>18</v>
      </c>
      <c r="O671" t="str" cm="1">
        <f t="array" ref="O671">_xlfn.IFS(D671&gt;120000, "High Income", D671&gt;=80000, "Average Income", D671&lt;80000, "Low Income")</f>
        <v>Low Income</v>
      </c>
      <c r="P671">
        <f>IF(Table24[[#This Row],[Purchased Bike]]="Yes",1,0)</f>
        <v>0</v>
      </c>
    </row>
    <row r="672" spans="1:16" hidden="1" x14ac:dyDescent="0.25">
      <c r="A672">
        <v>21471</v>
      </c>
      <c r="B672" t="s">
        <v>34</v>
      </c>
      <c r="C672" t="s">
        <v>34</v>
      </c>
      <c r="D672" s="2">
        <v>70000</v>
      </c>
      <c r="E672">
        <v>2</v>
      </c>
      <c r="F672" t="s">
        <v>19</v>
      </c>
      <c r="G672" t="s">
        <v>21</v>
      </c>
      <c r="H672" t="s">
        <v>15</v>
      </c>
      <c r="I672">
        <v>1</v>
      </c>
      <c r="J672" t="s">
        <v>30</v>
      </c>
      <c r="K672" t="s">
        <v>32</v>
      </c>
      <c r="L672">
        <v>59</v>
      </c>
      <c r="M672" t="str" cm="1">
        <f t="array" ref="M672">_xlfn.IFS(
L672&gt;50,"Old Age",
L672&gt;=31,"Middle Age",
L672&lt;31,"Young Age"
)</f>
        <v>Old Age</v>
      </c>
      <c r="N672" t="s">
        <v>18</v>
      </c>
      <c r="O672" t="str" cm="1">
        <f t="array" ref="O672">_xlfn.IFS(D672&gt;120000, "High Income", D672&gt;=80000, "Average Income", D672&lt;80000, "Low Income")</f>
        <v>Low Income</v>
      </c>
      <c r="P672">
        <f>IF(Table24[[#This Row],[Purchased Bike]]="Yes",1,0)</f>
        <v>0</v>
      </c>
    </row>
    <row r="673" spans="1:16" x14ac:dyDescent="0.25">
      <c r="A673">
        <v>22252</v>
      </c>
      <c r="B673" t="s">
        <v>35</v>
      </c>
      <c r="C673" t="s">
        <v>33</v>
      </c>
      <c r="D673" s="2">
        <v>60000</v>
      </c>
      <c r="E673">
        <v>1</v>
      </c>
      <c r="F673" t="s">
        <v>31</v>
      </c>
      <c r="G673" t="s">
        <v>21</v>
      </c>
      <c r="H673" t="s">
        <v>15</v>
      </c>
      <c r="I673">
        <v>0</v>
      </c>
      <c r="J673" t="s">
        <v>22</v>
      </c>
      <c r="K673" t="s">
        <v>32</v>
      </c>
      <c r="L673">
        <v>36</v>
      </c>
      <c r="M673" t="str" cm="1">
        <f t="array" ref="M673">_xlfn.IFS(
L673&gt;50,"Old Age",
L673&gt;=31,"Middle Age",
L673&lt;31,"Young Age"
)</f>
        <v>Middle Age</v>
      </c>
      <c r="N673" t="s">
        <v>15</v>
      </c>
      <c r="O673" t="str" cm="1">
        <f t="array" ref="O673">_xlfn.IFS(D673&gt;120000, "High Income", D673&gt;=80000, "Average Income", D673&lt;80000, "Low Income")</f>
        <v>Low Income</v>
      </c>
      <c r="P673">
        <f>IF(Table24[[#This Row],[Purchased Bike]]="Yes",1,0)</f>
        <v>1</v>
      </c>
    </row>
    <row r="674" spans="1:16" hidden="1" x14ac:dyDescent="0.25">
      <c r="A674">
        <v>21260</v>
      </c>
      <c r="B674" t="s">
        <v>35</v>
      </c>
      <c r="C674" t="s">
        <v>33</v>
      </c>
      <c r="D674" s="2">
        <v>40000</v>
      </c>
      <c r="E674">
        <v>0</v>
      </c>
      <c r="F674" t="s">
        <v>27</v>
      </c>
      <c r="G674" t="s">
        <v>14</v>
      </c>
      <c r="H674" t="s">
        <v>15</v>
      </c>
      <c r="I674">
        <v>2</v>
      </c>
      <c r="J674" t="s">
        <v>23</v>
      </c>
      <c r="K674" t="s">
        <v>32</v>
      </c>
      <c r="L674">
        <v>30</v>
      </c>
      <c r="M674" t="str" cm="1">
        <f t="array" ref="M674">_xlfn.IFS(
L674&gt;50,"Old Age",
L674&gt;=31,"Middle Age",
L674&lt;31,"Young Age"
)</f>
        <v>Young Age</v>
      </c>
      <c r="N674" t="s">
        <v>18</v>
      </c>
      <c r="O674" t="str" cm="1">
        <f t="array" ref="O674">_xlfn.IFS(D674&gt;120000, "High Income", D674&gt;=80000, "Average Income", D674&lt;80000, "Low Income")</f>
        <v>Low Income</v>
      </c>
      <c r="P674">
        <f>IF(Table24[[#This Row],[Purchased Bike]]="Yes",1,0)</f>
        <v>0</v>
      </c>
    </row>
    <row r="675" spans="1:16" x14ac:dyDescent="0.25">
      <c r="A675">
        <v>11817</v>
      </c>
      <c r="B675" t="s">
        <v>35</v>
      </c>
      <c r="C675" t="s">
        <v>33</v>
      </c>
      <c r="D675" s="2">
        <v>70000</v>
      </c>
      <c r="E675">
        <v>4</v>
      </c>
      <c r="F675" t="s">
        <v>31</v>
      </c>
      <c r="G675" t="s">
        <v>21</v>
      </c>
      <c r="H675" t="s">
        <v>15</v>
      </c>
      <c r="I675">
        <v>0</v>
      </c>
      <c r="J675" t="s">
        <v>22</v>
      </c>
      <c r="K675" t="s">
        <v>32</v>
      </c>
      <c r="L675">
        <v>35</v>
      </c>
      <c r="M675" t="str" cm="1">
        <f t="array" ref="M675">_xlfn.IFS(
L675&gt;50,"Old Age",
L675&gt;=31,"Middle Age",
L675&lt;31,"Young Age"
)</f>
        <v>Middle Age</v>
      </c>
      <c r="N675" t="s">
        <v>15</v>
      </c>
      <c r="O675" t="str" cm="1">
        <f t="array" ref="O675">_xlfn.IFS(D675&gt;120000, "High Income", D675&gt;=80000, "Average Income", D675&lt;80000, "Low Income")</f>
        <v>Low Income</v>
      </c>
      <c r="P675">
        <f>IF(Table24[[#This Row],[Purchased Bike]]="Yes",1,0)</f>
        <v>1</v>
      </c>
    </row>
    <row r="676" spans="1:16" hidden="1" x14ac:dyDescent="0.25">
      <c r="A676">
        <v>19223</v>
      </c>
      <c r="B676" t="s">
        <v>34</v>
      </c>
      <c r="C676" t="s">
        <v>33</v>
      </c>
      <c r="D676" s="2">
        <v>30000</v>
      </c>
      <c r="E676">
        <v>2</v>
      </c>
      <c r="F676" t="s">
        <v>27</v>
      </c>
      <c r="G676" t="s">
        <v>14</v>
      </c>
      <c r="H676" t="s">
        <v>15</v>
      </c>
      <c r="I676">
        <v>2</v>
      </c>
      <c r="J676" t="s">
        <v>26</v>
      </c>
      <c r="K676" t="s">
        <v>32</v>
      </c>
      <c r="L676">
        <v>48</v>
      </c>
      <c r="M676" t="str" cm="1">
        <f t="array" ref="M676">_xlfn.IFS(
L676&gt;50,"Old Age",
L676&gt;=31,"Middle Age",
L676&lt;31,"Young Age"
)</f>
        <v>Middle Age</v>
      </c>
      <c r="N676" t="s">
        <v>18</v>
      </c>
      <c r="O676" t="str" cm="1">
        <f t="array" ref="O676">_xlfn.IFS(D676&gt;120000, "High Income", D676&gt;=80000, "Average Income", D676&lt;80000, "Low Income")</f>
        <v>Low Income</v>
      </c>
      <c r="P676">
        <f>IF(Table24[[#This Row],[Purchased Bike]]="Yes",1,0)</f>
        <v>0</v>
      </c>
    </row>
    <row r="677" spans="1:16" hidden="1" x14ac:dyDescent="0.25">
      <c r="A677">
        <v>18517</v>
      </c>
      <c r="B677" t="s">
        <v>34</v>
      </c>
      <c r="C677" t="s">
        <v>34</v>
      </c>
      <c r="D677" s="2">
        <v>100000</v>
      </c>
      <c r="E677">
        <v>3</v>
      </c>
      <c r="F677" t="s">
        <v>13</v>
      </c>
      <c r="G677" t="s">
        <v>28</v>
      </c>
      <c r="H677" t="s">
        <v>15</v>
      </c>
      <c r="I677">
        <v>4</v>
      </c>
      <c r="J677" t="s">
        <v>16</v>
      </c>
      <c r="K677" t="s">
        <v>32</v>
      </c>
      <c r="L677">
        <v>41</v>
      </c>
      <c r="M677" t="str" cm="1">
        <f t="array" ref="M677">_xlfn.IFS(
L677&gt;50,"Old Age",
L677&gt;=31,"Middle Age",
L677&lt;31,"Young Age"
)</f>
        <v>Middle Age</v>
      </c>
      <c r="N677" t="s">
        <v>18</v>
      </c>
      <c r="O677" t="str" cm="1">
        <f t="array" ref="O677">_xlfn.IFS(D677&gt;120000, "High Income", D677&gt;=80000, "Average Income", D677&lt;80000, "Low Income")</f>
        <v>Average Income</v>
      </c>
      <c r="P677">
        <f>IF(Table24[[#This Row],[Purchased Bike]]="Yes",1,0)</f>
        <v>0</v>
      </c>
    </row>
    <row r="678" spans="1:16" hidden="1" x14ac:dyDescent="0.25">
      <c r="A678">
        <v>21717</v>
      </c>
      <c r="B678" t="s">
        <v>34</v>
      </c>
      <c r="C678" t="s">
        <v>34</v>
      </c>
      <c r="D678" s="2">
        <v>40000</v>
      </c>
      <c r="E678">
        <v>2</v>
      </c>
      <c r="F678" t="s">
        <v>19</v>
      </c>
      <c r="G678" t="s">
        <v>20</v>
      </c>
      <c r="H678" t="s">
        <v>15</v>
      </c>
      <c r="I678">
        <v>1</v>
      </c>
      <c r="J678" t="s">
        <v>16</v>
      </c>
      <c r="K678" t="s">
        <v>32</v>
      </c>
      <c r="L678">
        <v>47</v>
      </c>
      <c r="M678" t="str" cm="1">
        <f t="array" ref="M678">_xlfn.IFS(
L678&gt;50,"Old Age",
L678&gt;=31,"Middle Age",
L678&lt;31,"Young Age"
)</f>
        <v>Middle Age</v>
      </c>
      <c r="N678" t="s">
        <v>18</v>
      </c>
      <c r="O678" t="str" cm="1">
        <f t="array" ref="O678">_xlfn.IFS(D678&gt;120000, "High Income", D678&gt;=80000, "Average Income", D678&lt;80000, "Low Income")</f>
        <v>Low Income</v>
      </c>
      <c r="P678">
        <f>IF(Table24[[#This Row],[Purchased Bike]]="Yes",1,0)</f>
        <v>0</v>
      </c>
    </row>
    <row r="679" spans="1:16" hidden="1" x14ac:dyDescent="0.25">
      <c r="A679">
        <v>13760</v>
      </c>
      <c r="B679" t="s">
        <v>34</v>
      </c>
      <c r="C679" t="s">
        <v>34</v>
      </c>
      <c r="D679" s="2">
        <v>60000</v>
      </c>
      <c r="E679">
        <v>4</v>
      </c>
      <c r="F679" t="s">
        <v>31</v>
      </c>
      <c r="G679" t="s">
        <v>14</v>
      </c>
      <c r="H679" t="s">
        <v>18</v>
      </c>
      <c r="I679">
        <v>0</v>
      </c>
      <c r="J679" t="s">
        <v>16</v>
      </c>
      <c r="K679" t="s">
        <v>32</v>
      </c>
      <c r="L679">
        <v>47</v>
      </c>
      <c r="M679" t="str" cm="1">
        <f t="array" ref="M679">_xlfn.IFS(
L679&gt;50,"Old Age",
L679&gt;=31,"Middle Age",
L679&lt;31,"Young Age"
)</f>
        <v>Middle Age</v>
      </c>
      <c r="N679" t="s">
        <v>18</v>
      </c>
      <c r="O679" t="str" cm="1">
        <f t="array" ref="O679">_xlfn.IFS(D679&gt;120000, "High Income", D679&gt;=80000, "Average Income", D679&lt;80000, "Low Income")</f>
        <v>Low Income</v>
      </c>
      <c r="P679">
        <f>IF(Table24[[#This Row],[Purchased Bike]]="Yes",1,0)</f>
        <v>0</v>
      </c>
    </row>
    <row r="680" spans="1:16" hidden="1" x14ac:dyDescent="0.25">
      <c r="A680">
        <v>18145</v>
      </c>
      <c r="B680" t="s">
        <v>34</v>
      </c>
      <c r="C680" t="s">
        <v>34</v>
      </c>
      <c r="D680" s="2">
        <v>80000</v>
      </c>
      <c r="E680">
        <v>5</v>
      </c>
      <c r="F680" t="s">
        <v>13</v>
      </c>
      <c r="G680" t="s">
        <v>28</v>
      </c>
      <c r="H680" t="s">
        <v>18</v>
      </c>
      <c r="I680">
        <v>2</v>
      </c>
      <c r="J680" t="s">
        <v>22</v>
      </c>
      <c r="K680" t="s">
        <v>17</v>
      </c>
      <c r="L680">
        <v>62</v>
      </c>
      <c r="M680" t="str" cm="1">
        <f t="array" ref="M680">_xlfn.IFS(
L680&gt;50,"Old Age",
L680&gt;=31,"Middle Age",
L680&lt;31,"Young Age"
)</f>
        <v>Old Age</v>
      </c>
      <c r="N680" t="s">
        <v>18</v>
      </c>
      <c r="O680" t="str" cm="1">
        <f t="array" ref="O680">_xlfn.IFS(D680&gt;120000, "High Income", D680&gt;=80000, "Average Income", D680&lt;80000, "Low Income")</f>
        <v>Average Income</v>
      </c>
      <c r="P680">
        <f>IF(Table24[[#This Row],[Purchased Bike]]="Yes",1,0)</f>
        <v>0</v>
      </c>
    </row>
    <row r="681" spans="1:16" hidden="1" x14ac:dyDescent="0.25">
      <c r="A681">
        <v>21770</v>
      </c>
      <c r="B681" t="s">
        <v>34</v>
      </c>
      <c r="C681" t="s">
        <v>34</v>
      </c>
      <c r="D681" s="2">
        <v>60000</v>
      </c>
      <c r="E681">
        <v>4</v>
      </c>
      <c r="F681" t="s">
        <v>13</v>
      </c>
      <c r="G681" t="s">
        <v>28</v>
      </c>
      <c r="H681" t="s">
        <v>15</v>
      </c>
      <c r="I681">
        <v>2</v>
      </c>
      <c r="J681" t="s">
        <v>30</v>
      </c>
      <c r="K681" t="s">
        <v>32</v>
      </c>
      <c r="L681">
        <v>60</v>
      </c>
      <c r="M681" t="str" cm="1">
        <f t="array" ref="M681">_xlfn.IFS(
L681&gt;50,"Old Age",
L681&gt;=31,"Middle Age",
L681&lt;31,"Young Age"
)</f>
        <v>Old Age</v>
      </c>
      <c r="N681" t="s">
        <v>18</v>
      </c>
      <c r="O681" t="str" cm="1">
        <f t="array" ref="O681">_xlfn.IFS(D681&gt;120000, "High Income", D681&gt;=80000, "Average Income", D681&lt;80000, "Low Income")</f>
        <v>Low Income</v>
      </c>
      <c r="P681">
        <f>IF(Table24[[#This Row],[Purchased Bike]]="Yes",1,0)</f>
        <v>0</v>
      </c>
    </row>
    <row r="682" spans="1:16" hidden="1" x14ac:dyDescent="0.25">
      <c r="A682">
        <v>11165</v>
      </c>
      <c r="B682" t="s">
        <v>34</v>
      </c>
      <c r="C682" t="s">
        <v>33</v>
      </c>
      <c r="D682" s="2">
        <v>60000</v>
      </c>
      <c r="E682">
        <v>0</v>
      </c>
      <c r="F682" t="s">
        <v>19</v>
      </c>
      <c r="G682" t="s">
        <v>14</v>
      </c>
      <c r="H682" t="s">
        <v>18</v>
      </c>
      <c r="I682">
        <v>1</v>
      </c>
      <c r="J682" t="s">
        <v>26</v>
      </c>
      <c r="K682" t="s">
        <v>32</v>
      </c>
      <c r="L682">
        <v>33</v>
      </c>
      <c r="M682" t="str" cm="1">
        <f t="array" ref="M682">_xlfn.IFS(
L682&gt;50,"Old Age",
L682&gt;=31,"Middle Age",
L682&lt;31,"Young Age"
)</f>
        <v>Middle Age</v>
      </c>
      <c r="N682" t="s">
        <v>18</v>
      </c>
      <c r="O682" t="str" cm="1">
        <f t="array" ref="O682">_xlfn.IFS(D682&gt;120000, "High Income", D682&gt;=80000, "Average Income", D682&lt;80000, "Low Income")</f>
        <v>Low Income</v>
      </c>
      <c r="P682">
        <f>IF(Table24[[#This Row],[Purchased Bike]]="Yes",1,0)</f>
        <v>0</v>
      </c>
    </row>
    <row r="683" spans="1:16" hidden="1" x14ac:dyDescent="0.25">
      <c r="A683">
        <v>16377</v>
      </c>
      <c r="B683" t="s">
        <v>35</v>
      </c>
      <c r="C683" t="s">
        <v>33</v>
      </c>
      <c r="D683" s="2">
        <v>80000</v>
      </c>
      <c r="E683">
        <v>4</v>
      </c>
      <c r="F683" t="s">
        <v>31</v>
      </c>
      <c r="G683" t="s">
        <v>14</v>
      </c>
      <c r="H683" t="s">
        <v>18</v>
      </c>
      <c r="I683">
        <v>0</v>
      </c>
      <c r="J683" t="s">
        <v>16</v>
      </c>
      <c r="K683" t="s">
        <v>32</v>
      </c>
      <c r="L683">
        <v>47</v>
      </c>
      <c r="M683" t="str" cm="1">
        <f t="array" ref="M683">_xlfn.IFS(
L683&gt;50,"Old Age",
L683&gt;=31,"Middle Age",
L683&lt;31,"Young Age"
)</f>
        <v>Middle Age</v>
      </c>
      <c r="N683" t="s">
        <v>18</v>
      </c>
      <c r="O683" t="str" cm="1">
        <f t="array" ref="O683">_xlfn.IFS(D683&gt;120000, "High Income", D683&gt;=80000, "Average Income", D683&lt;80000, "Low Income")</f>
        <v>Average Income</v>
      </c>
      <c r="P683">
        <f>IF(Table24[[#This Row],[Purchased Bike]]="Yes",1,0)</f>
        <v>0</v>
      </c>
    </row>
    <row r="684" spans="1:16" hidden="1" x14ac:dyDescent="0.25">
      <c r="A684">
        <v>26248</v>
      </c>
      <c r="B684" t="s">
        <v>34</v>
      </c>
      <c r="C684" t="s">
        <v>34</v>
      </c>
      <c r="D684" s="2">
        <v>20000</v>
      </c>
      <c r="E684">
        <v>3</v>
      </c>
      <c r="F684" t="s">
        <v>29</v>
      </c>
      <c r="G684" t="s">
        <v>20</v>
      </c>
      <c r="H684" t="s">
        <v>18</v>
      </c>
      <c r="I684">
        <v>2</v>
      </c>
      <c r="J684" t="s">
        <v>16</v>
      </c>
      <c r="K684" t="s">
        <v>32</v>
      </c>
      <c r="L684">
        <v>52</v>
      </c>
      <c r="M684" t="str" cm="1">
        <f t="array" ref="M684">_xlfn.IFS(
L684&gt;50,"Old Age",
L684&gt;=31,"Middle Age",
L684&lt;31,"Young Age"
)</f>
        <v>Old Age</v>
      </c>
      <c r="N684" t="s">
        <v>18</v>
      </c>
      <c r="O684" t="str" cm="1">
        <f t="array" ref="O684">_xlfn.IFS(D684&gt;120000, "High Income", D684&gt;=80000, "Average Income", D684&lt;80000, "Low Income")</f>
        <v>Low Income</v>
      </c>
      <c r="P684">
        <f>IF(Table24[[#This Row],[Purchased Bike]]="Yes",1,0)</f>
        <v>0</v>
      </c>
    </row>
    <row r="685" spans="1:16" hidden="1" x14ac:dyDescent="0.25">
      <c r="A685">
        <v>23461</v>
      </c>
      <c r="B685" t="s">
        <v>34</v>
      </c>
      <c r="C685" t="s">
        <v>33</v>
      </c>
      <c r="D685" s="2">
        <v>90000</v>
      </c>
      <c r="E685">
        <v>5</v>
      </c>
      <c r="F685" t="s">
        <v>19</v>
      </c>
      <c r="G685" t="s">
        <v>21</v>
      </c>
      <c r="H685" t="s">
        <v>15</v>
      </c>
      <c r="I685">
        <v>3</v>
      </c>
      <c r="J685" t="s">
        <v>22</v>
      </c>
      <c r="K685" t="s">
        <v>32</v>
      </c>
      <c r="L685">
        <v>40</v>
      </c>
      <c r="M685" t="str" cm="1">
        <f t="array" ref="M685">_xlfn.IFS(
L685&gt;50,"Old Age",
L685&gt;=31,"Middle Age",
L685&lt;31,"Young Age"
)</f>
        <v>Middle Age</v>
      </c>
      <c r="N685" t="s">
        <v>18</v>
      </c>
      <c r="O685" t="str" cm="1">
        <f t="array" ref="O685">_xlfn.IFS(D685&gt;120000, "High Income", D685&gt;=80000, "Average Income", D685&lt;80000, "Low Income")</f>
        <v>Average Income</v>
      </c>
      <c r="P685">
        <f>IF(Table24[[#This Row],[Purchased Bike]]="Yes",1,0)</f>
        <v>0</v>
      </c>
    </row>
    <row r="686" spans="1:16" hidden="1" x14ac:dyDescent="0.25">
      <c r="A686">
        <v>29133</v>
      </c>
      <c r="B686" t="s">
        <v>35</v>
      </c>
      <c r="C686" t="s">
        <v>33</v>
      </c>
      <c r="D686" s="2">
        <v>60000</v>
      </c>
      <c r="E686">
        <v>4</v>
      </c>
      <c r="F686" t="s">
        <v>13</v>
      </c>
      <c r="G686" t="s">
        <v>14</v>
      </c>
      <c r="H686" t="s">
        <v>18</v>
      </c>
      <c r="I686">
        <v>2</v>
      </c>
      <c r="J686" t="s">
        <v>16</v>
      </c>
      <c r="K686" t="s">
        <v>32</v>
      </c>
      <c r="L686">
        <v>42</v>
      </c>
      <c r="M686" t="str" cm="1">
        <f t="array" ref="M686">_xlfn.IFS(
L686&gt;50,"Old Age",
L686&gt;=31,"Middle Age",
L686&lt;31,"Young Age"
)</f>
        <v>Middle Age</v>
      </c>
      <c r="N686" t="s">
        <v>18</v>
      </c>
      <c r="O686" t="str" cm="1">
        <f t="array" ref="O686">_xlfn.IFS(D686&gt;120000, "High Income", D686&gt;=80000, "Average Income", D686&lt;80000, "Low Income")</f>
        <v>Low Income</v>
      </c>
      <c r="P686">
        <f>IF(Table24[[#This Row],[Purchased Bike]]="Yes",1,0)</f>
        <v>0</v>
      </c>
    </row>
    <row r="687" spans="1:16" hidden="1" x14ac:dyDescent="0.25">
      <c r="A687">
        <v>27673</v>
      </c>
      <c r="B687" t="s">
        <v>35</v>
      </c>
      <c r="C687" t="s">
        <v>33</v>
      </c>
      <c r="D687" s="2">
        <v>60000</v>
      </c>
      <c r="E687">
        <v>3</v>
      </c>
      <c r="F687" t="s">
        <v>31</v>
      </c>
      <c r="G687" t="s">
        <v>28</v>
      </c>
      <c r="H687" t="s">
        <v>15</v>
      </c>
      <c r="I687">
        <v>2</v>
      </c>
      <c r="J687" t="s">
        <v>23</v>
      </c>
      <c r="K687" t="s">
        <v>32</v>
      </c>
      <c r="L687">
        <v>53</v>
      </c>
      <c r="M687" t="str" cm="1">
        <f t="array" ref="M687">_xlfn.IFS(
L687&gt;50,"Old Age",
L687&gt;=31,"Middle Age",
L687&lt;31,"Young Age"
)</f>
        <v>Old Age</v>
      </c>
      <c r="N687" t="s">
        <v>15</v>
      </c>
      <c r="O687" t="str" cm="1">
        <f t="array" ref="O687">_xlfn.IFS(D687&gt;120000, "High Income", D687&gt;=80000, "Average Income", D687&lt;80000, "Low Income")</f>
        <v>Low Income</v>
      </c>
      <c r="P687">
        <f>IF(Table24[[#This Row],[Purchased Bike]]="Yes",1,0)</f>
        <v>1</v>
      </c>
    </row>
    <row r="688" spans="1:16" hidden="1" x14ac:dyDescent="0.25">
      <c r="A688">
        <v>12774</v>
      </c>
      <c r="B688" t="s">
        <v>34</v>
      </c>
      <c r="C688" t="s">
        <v>33</v>
      </c>
      <c r="D688" s="2">
        <v>40000</v>
      </c>
      <c r="E688">
        <v>1</v>
      </c>
      <c r="F688" t="s">
        <v>19</v>
      </c>
      <c r="G688" t="s">
        <v>20</v>
      </c>
      <c r="H688" t="s">
        <v>15</v>
      </c>
      <c r="I688">
        <v>1</v>
      </c>
      <c r="J688" t="s">
        <v>26</v>
      </c>
      <c r="K688" t="s">
        <v>32</v>
      </c>
      <c r="L688">
        <v>51</v>
      </c>
      <c r="M688" t="str" cm="1">
        <f t="array" ref="M688">_xlfn.IFS(
L688&gt;50,"Old Age",
L688&gt;=31,"Middle Age",
L688&lt;31,"Young Age"
)</f>
        <v>Old Age</v>
      </c>
      <c r="N688" t="s">
        <v>15</v>
      </c>
      <c r="O688" t="str" cm="1">
        <f t="array" ref="O688">_xlfn.IFS(D688&gt;120000, "High Income", D688&gt;=80000, "Average Income", D688&lt;80000, "Low Income")</f>
        <v>Low Income</v>
      </c>
      <c r="P688">
        <f>IF(Table24[[#This Row],[Purchased Bike]]="Yes",1,0)</f>
        <v>1</v>
      </c>
    </row>
    <row r="689" spans="1:16" hidden="1" x14ac:dyDescent="0.25">
      <c r="A689">
        <v>18910</v>
      </c>
      <c r="B689" t="s">
        <v>35</v>
      </c>
      <c r="C689" t="s">
        <v>34</v>
      </c>
      <c r="D689" s="2">
        <v>30000</v>
      </c>
      <c r="E689">
        <v>0</v>
      </c>
      <c r="F689" t="s">
        <v>19</v>
      </c>
      <c r="G689" t="s">
        <v>14</v>
      </c>
      <c r="H689" t="s">
        <v>15</v>
      </c>
      <c r="I689">
        <v>2</v>
      </c>
      <c r="J689" t="s">
        <v>23</v>
      </c>
      <c r="K689" t="s">
        <v>32</v>
      </c>
      <c r="L689">
        <v>30</v>
      </c>
      <c r="M689" t="str" cm="1">
        <f t="array" ref="M689">_xlfn.IFS(
L689&gt;50,"Old Age",
L689&gt;=31,"Middle Age",
L689&lt;31,"Young Age"
)</f>
        <v>Young Age</v>
      </c>
      <c r="N689" t="s">
        <v>18</v>
      </c>
      <c r="O689" t="str" cm="1">
        <f t="array" ref="O689">_xlfn.IFS(D689&gt;120000, "High Income", D689&gt;=80000, "Average Income", D689&lt;80000, "Low Income")</f>
        <v>Low Income</v>
      </c>
      <c r="P689">
        <f>IF(Table24[[#This Row],[Purchased Bike]]="Yes",1,0)</f>
        <v>0</v>
      </c>
    </row>
    <row r="690" spans="1:16" hidden="1" x14ac:dyDescent="0.25">
      <c r="A690">
        <v>11699</v>
      </c>
      <c r="B690" t="s">
        <v>35</v>
      </c>
      <c r="C690" t="s">
        <v>34</v>
      </c>
      <c r="D690" s="2">
        <v>60000</v>
      </c>
      <c r="E690">
        <v>0</v>
      </c>
      <c r="F690" t="s">
        <v>13</v>
      </c>
      <c r="G690" t="s">
        <v>14</v>
      </c>
      <c r="H690" t="s">
        <v>18</v>
      </c>
      <c r="I690">
        <v>2</v>
      </c>
      <c r="J690" t="s">
        <v>16</v>
      </c>
      <c r="K690" t="s">
        <v>32</v>
      </c>
      <c r="L690">
        <v>30</v>
      </c>
      <c r="M690" t="str" cm="1">
        <f t="array" ref="M690">_xlfn.IFS(
L690&gt;50,"Old Age",
L690&gt;=31,"Middle Age",
L690&lt;31,"Young Age"
)</f>
        <v>Young Age</v>
      </c>
      <c r="N690" t="s">
        <v>18</v>
      </c>
      <c r="O690" t="str" cm="1">
        <f t="array" ref="O690">_xlfn.IFS(D690&gt;120000, "High Income", D690&gt;=80000, "Average Income", D690&lt;80000, "Low Income")</f>
        <v>Low Income</v>
      </c>
      <c r="P690">
        <f>IF(Table24[[#This Row],[Purchased Bike]]="Yes",1,0)</f>
        <v>0</v>
      </c>
    </row>
    <row r="691" spans="1:16" hidden="1" x14ac:dyDescent="0.25">
      <c r="A691">
        <v>16725</v>
      </c>
      <c r="B691" t="s">
        <v>34</v>
      </c>
      <c r="C691" t="s">
        <v>34</v>
      </c>
      <c r="D691" s="2">
        <v>30000</v>
      </c>
      <c r="E691">
        <v>0</v>
      </c>
      <c r="F691" t="s">
        <v>27</v>
      </c>
      <c r="G691" t="s">
        <v>14</v>
      </c>
      <c r="H691" t="s">
        <v>15</v>
      </c>
      <c r="I691">
        <v>2</v>
      </c>
      <c r="J691" t="s">
        <v>23</v>
      </c>
      <c r="K691" t="s">
        <v>32</v>
      </c>
      <c r="L691">
        <v>26</v>
      </c>
      <c r="M691" t="str" cm="1">
        <f t="array" ref="M691">_xlfn.IFS(
L691&gt;50,"Old Age",
L691&gt;=31,"Middle Age",
L691&lt;31,"Young Age"
)</f>
        <v>Young Age</v>
      </c>
      <c r="N691" t="s">
        <v>18</v>
      </c>
      <c r="O691" t="str" cm="1">
        <f t="array" ref="O691">_xlfn.IFS(D691&gt;120000, "High Income", D691&gt;=80000, "Average Income", D691&lt;80000, "Low Income")</f>
        <v>Low Income</v>
      </c>
      <c r="P691">
        <f>IF(Table24[[#This Row],[Purchased Bike]]="Yes",1,0)</f>
        <v>0</v>
      </c>
    </row>
    <row r="692" spans="1:16" hidden="1" x14ac:dyDescent="0.25">
      <c r="A692">
        <v>28269</v>
      </c>
      <c r="B692" t="s">
        <v>35</v>
      </c>
      <c r="C692" t="s">
        <v>33</v>
      </c>
      <c r="D692" s="2">
        <v>130000</v>
      </c>
      <c r="E692">
        <v>1</v>
      </c>
      <c r="F692" t="s">
        <v>13</v>
      </c>
      <c r="G692" t="s">
        <v>28</v>
      </c>
      <c r="H692" t="s">
        <v>18</v>
      </c>
      <c r="I692">
        <v>1</v>
      </c>
      <c r="J692" t="s">
        <v>22</v>
      </c>
      <c r="K692" t="s">
        <v>32</v>
      </c>
      <c r="L692">
        <v>45</v>
      </c>
      <c r="M692" t="str" cm="1">
        <f t="array" ref="M692">_xlfn.IFS(
L692&gt;50,"Old Age",
L692&gt;=31,"Middle Age",
L692&lt;31,"Young Age"
)</f>
        <v>Middle Age</v>
      </c>
      <c r="N692" t="s">
        <v>18</v>
      </c>
      <c r="O692" t="str" cm="1">
        <f t="array" ref="O692">_xlfn.IFS(D692&gt;120000, "High Income", D692&gt;=80000, "Average Income", D692&lt;80000, "Low Income")</f>
        <v>High Income</v>
      </c>
      <c r="P692">
        <f>IF(Table24[[#This Row],[Purchased Bike]]="Yes",1,0)</f>
        <v>0</v>
      </c>
    </row>
    <row r="693" spans="1:16" x14ac:dyDescent="0.25">
      <c r="A693">
        <v>23144</v>
      </c>
      <c r="B693" t="s">
        <v>34</v>
      </c>
      <c r="C693" t="s">
        <v>34</v>
      </c>
      <c r="D693" s="2">
        <v>50000</v>
      </c>
      <c r="E693">
        <v>1</v>
      </c>
      <c r="F693" t="s">
        <v>13</v>
      </c>
      <c r="G693" t="s">
        <v>14</v>
      </c>
      <c r="H693" t="s">
        <v>15</v>
      </c>
      <c r="I693">
        <v>0</v>
      </c>
      <c r="J693" t="s">
        <v>16</v>
      </c>
      <c r="K693" t="s">
        <v>32</v>
      </c>
      <c r="L693">
        <v>34</v>
      </c>
      <c r="M693" t="str" cm="1">
        <f t="array" ref="M693">_xlfn.IFS(
L693&gt;50,"Old Age",
L693&gt;=31,"Middle Age",
L693&lt;31,"Young Age"
)</f>
        <v>Middle Age</v>
      </c>
      <c r="N693" t="s">
        <v>15</v>
      </c>
      <c r="O693" t="str" cm="1">
        <f t="array" ref="O693">_xlfn.IFS(D693&gt;120000, "High Income", D693&gt;=80000, "Average Income", D693&lt;80000, "Low Income")</f>
        <v>Low Income</v>
      </c>
      <c r="P693">
        <f>IF(Table24[[#This Row],[Purchased Bike]]="Yes",1,0)</f>
        <v>1</v>
      </c>
    </row>
    <row r="694" spans="1:16" x14ac:dyDescent="0.25">
      <c r="A694">
        <v>23376</v>
      </c>
      <c r="B694" t="s">
        <v>34</v>
      </c>
      <c r="C694" t="s">
        <v>34</v>
      </c>
      <c r="D694" s="2">
        <v>70000</v>
      </c>
      <c r="E694">
        <v>1</v>
      </c>
      <c r="F694" t="s">
        <v>13</v>
      </c>
      <c r="G694" t="s">
        <v>21</v>
      </c>
      <c r="H694" t="s">
        <v>15</v>
      </c>
      <c r="I694">
        <v>1</v>
      </c>
      <c r="J694" t="s">
        <v>22</v>
      </c>
      <c r="K694" t="s">
        <v>32</v>
      </c>
      <c r="L694">
        <v>44</v>
      </c>
      <c r="M694" t="str" cm="1">
        <f t="array" ref="M694">_xlfn.IFS(
L694&gt;50,"Old Age",
L694&gt;=31,"Middle Age",
L694&lt;31,"Young Age"
)</f>
        <v>Middle Age</v>
      </c>
      <c r="N694" t="s">
        <v>15</v>
      </c>
      <c r="O694" t="str" cm="1">
        <f t="array" ref="O694">_xlfn.IFS(D694&gt;120000, "High Income", D694&gt;=80000, "Average Income", D694&lt;80000, "Low Income")</f>
        <v>Low Income</v>
      </c>
      <c r="P694">
        <f>IF(Table24[[#This Row],[Purchased Bike]]="Yes",1,0)</f>
        <v>1</v>
      </c>
    </row>
    <row r="695" spans="1:16" x14ac:dyDescent="0.25">
      <c r="A695">
        <v>25970</v>
      </c>
      <c r="B695" t="s">
        <v>35</v>
      </c>
      <c r="C695" t="s">
        <v>33</v>
      </c>
      <c r="D695" s="2">
        <v>60000</v>
      </c>
      <c r="E695">
        <v>4</v>
      </c>
      <c r="F695" t="s">
        <v>13</v>
      </c>
      <c r="G695" t="s">
        <v>14</v>
      </c>
      <c r="H695" t="s">
        <v>18</v>
      </c>
      <c r="I695">
        <v>2</v>
      </c>
      <c r="J695" t="s">
        <v>16</v>
      </c>
      <c r="K695" t="s">
        <v>32</v>
      </c>
      <c r="L695">
        <v>41</v>
      </c>
      <c r="M695" t="str" cm="1">
        <f t="array" ref="M695">_xlfn.IFS(
L695&gt;50,"Old Age",
L695&gt;=31,"Middle Age",
L695&lt;31,"Young Age"
)</f>
        <v>Middle Age</v>
      </c>
      <c r="N695" t="s">
        <v>15</v>
      </c>
      <c r="O695" t="str" cm="1">
        <f t="array" ref="O695">_xlfn.IFS(D695&gt;120000, "High Income", D695&gt;=80000, "Average Income", D695&lt;80000, "Low Income")</f>
        <v>Low Income</v>
      </c>
      <c r="P695">
        <f>IF(Table24[[#This Row],[Purchased Bike]]="Yes",1,0)</f>
        <v>1</v>
      </c>
    </row>
    <row r="696" spans="1:16" x14ac:dyDescent="0.25">
      <c r="A696">
        <v>28068</v>
      </c>
      <c r="B696" t="s">
        <v>35</v>
      </c>
      <c r="C696" t="s">
        <v>33</v>
      </c>
      <c r="D696" s="2">
        <v>80000</v>
      </c>
      <c r="E696">
        <v>3</v>
      </c>
      <c r="F696" t="s">
        <v>31</v>
      </c>
      <c r="G696" t="s">
        <v>21</v>
      </c>
      <c r="H696" t="s">
        <v>18</v>
      </c>
      <c r="I696">
        <v>0</v>
      </c>
      <c r="J696" t="s">
        <v>16</v>
      </c>
      <c r="K696" t="s">
        <v>32</v>
      </c>
      <c r="L696">
        <v>36</v>
      </c>
      <c r="M696" t="str" cm="1">
        <f t="array" ref="M696">_xlfn.IFS(
L696&gt;50,"Old Age",
L696&gt;=31,"Middle Age",
L696&lt;31,"Young Age"
)</f>
        <v>Middle Age</v>
      </c>
      <c r="N696" t="s">
        <v>15</v>
      </c>
      <c r="O696" t="str" cm="1">
        <f t="array" ref="O696">_xlfn.IFS(D696&gt;120000, "High Income", D696&gt;=80000, "Average Income", D696&lt;80000, "Low Income")</f>
        <v>Average Income</v>
      </c>
      <c r="P696">
        <f>IF(Table24[[#This Row],[Purchased Bike]]="Yes",1,0)</f>
        <v>1</v>
      </c>
    </row>
    <row r="697" spans="1:16" hidden="1" x14ac:dyDescent="0.25">
      <c r="A697">
        <v>18390</v>
      </c>
      <c r="B697" t="s">
        <v>34</v>
      </c>
      <c r="C697" t="s">
        <v>34</v>
      </c>
      <c r="D697" s="2">
        <v>80000</v>
      </c>
      <c r="E697">
        <v>5</v>
      </c>
      <c r="F697" t="s">
        <v>19</v>
      </c>
      <c r="G697" t="s">
        <v>21</v>
      </c>
      <c r="H697" t="s">
        <v>15</v>
      </c>
      <c r="I697">
        <v>2</v>
      </c>
      <c r="J697" t="s">
        <v>16</v>
      </c>
      <c r="K697" t="s">
        <v>32</v>
      </c>
      <c r="L697">
        <v>44</v>
      </c>
      <c r="M697" t="str" cm="1">
        <f t="array" ref="M697">_xlfn.IFS(
L697&gt;50,"Old Age",
L697&gt;=31,"Middle Age",
L697&lt;31,"Young Age"
)</f>
        <v>Middle Age</v>
      </c>
      <c r="N697" t="s">
        <v>18</v>
      </c>
      <c r="O697" t="str" cm="1">
        <f t="array" ref="O697">_xlfn.IFS(D697&gt;120000, "High Income", D697&gt;=80000, "Average Income", D697&lt;80000, "Low Income")</f>
        <v>Average Income</v>
      </c>
      <c r="P697">
        <f>IF(Table24[[#This Row],[Purchased Bike]]="Yes",1,0)</f>
        <v>0</v>
      </c>
    </row>
    <row r="698" spans="1:16" hidden="1" x14ac:dyDescent="0.25">
      <c r="A698">
        <v>29112</v>
      </c>
      <c r="B698" t="s">
        <v>35</v>
      </c>
      <c r="C698" t="s">
        <v>34</v>
      </c>
      <c r="D698" s="2">
        <v>60000</v>
      </c>
      <c r="E698">
        <v>0</v>
      </c>
      <c r="F698" t="s">
        <v>19</v>
      </c>
      <c r="G698" t="s">
        <v>21</v>
      </c>
      <c r="H698" t="s">
        <v>18</v>
      </c>
      <c r="I698">
        <v>2</v>
      </c>
      <c r="J698" t="s">
        <v>26</v>
      </c>
      <c r="K698" t="s">
        <v>32</v>
      </c>
      <c r="L698">
        <v>30</v>
      </c>
      <c r="M698" t="str" cm="1">
        <f t="array" ref="M698">_xlfn.IFS(
L698&gt;50,"Old Age",
L698&gt;=31,"Middle Age",
L698&lt;31,"Young Age"
)</f>
        <v>Young Age</v>
      </c>
      <c r="N698" t="s">
        <v>18</v>
      </c>
      <c r="O698" t="str" cm="1">
        <f t="array" ref="O698">_xlfn.IFS(D698&gt;120000, "High Income", D698&gt;=80000, "Average Income", D698&lt;80000, "Low Income")</f>
        <v>Low Income</v>
      </c>
      <c r="P698">
        <f>IF(Table24[[#This Row],[Purchased Bike]]="Yes",1,0)</f>
        <v>0</v>
      </c>
    </row>
    <row r="699" spans="1:16" hidden="1" x14ac:dyDescent="0.25">
      <c r="A699">
        <v>14090</v>
      </c>
      <c r="B699" t="s">
        <v>34</v>
      </c>
      <c r="C699" t="s">
        <v>33</v>
      </c>
      <c r="D699" s="2">
        <v>30000</v>
      </c>
      <c r="E699">
        <v>0</v>
      </c>
      <c r="F699" t="s">
        <v>29</v>
      </c>
      <c r="G699" t="s">
        <v>20</v>
      </c>
      <c r="H699" t="s">
        <v>18</v>
      </c>
      <c r="I699">
        <v>2</v>
      </c>
      <c r="J699" t="s">
        <v>16</v>
      </c>
      <c r="K699" t="s">
        <v>32</v>
      </c>
      <c r="L699">
        <v>28</v>
      </c>
      <c r="M699" t="str" cm="1">
        <f t="array" ref="M699">_xlfn.IFS(
L699&gt;50,"Old Age",
L699&gt;=31,"Middle Age",
L699&lt;31,"Young Age"
)</f>
        <v>Young Age</v>
      </c>
      <c r="N699" t="s">
        <v>18</v>
      </c>
      <c r="O699" t="str" cm="1">
        <f t="array" ref="O699">_xlfn.IFS(D699&gt;120000, "High Income", D699&gt;=80000, "Average Income", D699&lt;80000, "Low Income")</f>
        <v>Low Income</v>
      </c>
      <c r="P699">
        <f>IF(Table24[[#This Row],[Purchased Bike]]="Yes",1,0)</f>
        <v>0</v>
      </c>
    </row>
    <row r="700" spans="1:16" hidden="1" x14ac:dyDescent="0.25">
      <c r="A700">
        <v>27040</v>
      </c>
      <c r="B700" t="s">
        <v>34</v>
      </c>
      <c r="C700" t="s">
        <v>34</v>
      </c>
      <c r="D700" s="2">
        <v>20000</v>
      </c>
      <c r="E700">
        <v>2</v>
      </c>
      <c r="F700" t="s">
        <v>29</v>
      </c>
      <c r="G700" t="s">
        <v>20</v>
      </c>
      <c r="H700" t="s">
        <v>15</v>
      </c>
      <c r="I700">
        <v>2</v>
      </c>
      <c r="J700" t="s">
        <v>26</v>
      </c>
      <c r="K700" t="s">
        <v>32</v>
      </c>
      <c r="L700">
        <v>49</v>
      </c>
      <c r="M700" t="str" cm="1">
        <f t="array" ref="M700">_xlfn.IFS(
L700&gt;50,"Old Age",
L700&gt;=31,"Middle Age",
L700&lt;31,"Young Age"
)</f>
        <v>Middle Age</v>
      </c>
      <c r="N700" t="s">
        <v>18</v>
      </c>
      <c r="O700" t="str" cm="1">
        <f t="array" ref="O700">_xlfn.IFS(D700&gt;120000, "High Income", D700&gt;=80000, "Average Income", D700&lt;80000, "Low Income")</f>
        <v>Low Income</v>
      </c>
      <c r="P700">
        <f>IF(Table24[[#This Row],[Purchased Bike]]="Yes",1,0)</f>
        <v>0</v>
      </c>
    </row>
    <row r="701" spans="1:16" x14ac:dyDescent="0.25">
      <c r="A701">
        <v>23479</v>
      </c>
      <c r="B701" t="s">
        <v>35</v>
      </c>
      <c r="C701" t="s">
        <v>34</v>
      </c>
      <c r="D701" s="2">
        <v>90000</v>
      </c>
      <c r="E701">
        <v>0</v>
      </c>
      <c r="F701" t="s">
        <v>19</v>
      </c>
      <c r="G701" t="s">
        <v>21</v>
      </c>
      <c r="H701" t="s">
        <v>18</v>
      </c>
      <c r="I701">
        <v>2</v>
      </c>
      <c r="J701" t="s">
        <v>16</v>
      </c>
      <c r="K701" t="s">
        <v>32</v>
      </c>
      <c r="L701">
        <v>43</v>
      </c>
      <c r="M701" t="str" cm="1">
        <f t="array" ref="M701">_xlfn.IFS(
L701&gt;50,"Old Age",
L701&gt;=31,"Middle Age",
L701&lt;31,"Young Age"
)</f>
        <v>Middle Age</v>
      </c>
      <c r="N701" t="s">
        <v>15</v>
      </c>
      <c r="O701" t="str" cm="1">
        <f t="array" ref="O701">_xlfn.IFS(D701&gt;120000, "High Income", D701&gt;=80000, "Average Income", D701&lt;80000, "Low Income")</f>
        <v>Average Income</v>
      </c>
      <c r="P701">
        <f>IF(Table24[[#This Row],[Purchased Bike]]="Yes",1,0)</f>
        <v>1</v>
      </c>
    </row>
    <row r="702" spans="1:16" hidden="1" x14ac:dyDescent="0.25">
      <c r="A702">
        <v>16795</v>
      </c>
      <c r="B702" t="s">
        <v>34</v>
      </c>
      <c r="C702" t="s">
        <v>33</v>
      </c>
      <c r="D702" s="2">
        <v>70000</v>
      </c>
      <c r="E702">
        <v>4</v>
      </c>
      <c r="F702" t="s">
        <v>13</v>
      </c>
      <c r="G702" t="s">
        <v>28</v>
      </c>
      <c r="H702" t="s">
        <v>15</v>
      </c>
      <c r="I702">
        <v>1</v>
      </c>
      <c r="J702" t="s">
        <v>26</v>
      </c>
      <c r="K702" t="s">
        <v>32</v>
      </c>
      <c r="L702">
        <v>59</v>
      </c>
      <c r="M702" t="str" cm="1">
        <f t="array" ref="M702">_xlfn.IFS(
L702&gt;50,"Old Age",
L702&gt;=31,"Middle Age",
L702&lt;31,"Young Age"
)</f>
        <v>Old Age</v>
      </c>
      <c r="N702" t="s">
        <v>18</v>
      </c>
      <c r="O702" t="str" cm="1">
        <f t="array" ref="O702">_xlfn.IFS(D702&gt;120000, "High Income", D702&gt;=80000, "Average Income", D702&lt;80000, "Low Income")</f>
        <v>Low Income</v>
      </c>
      <c r="P702">
        <f>IF(Table24[[#This Row],[Purchased Bike]]="Yes",1,0)</f>
        <v>0</v>
      </c>
    </row>
    <row r="703" spans="1:16" hidden="1" x14ac:dyDescent="0.25">
      <c r="A703">
        <v>22014</v>
      </c>
      <c r="B703" t="s">
        <v>35</v>
      </c>
      <c r="C703" t="s">
        <v>34</v>
      </c>
      <c r="D703" s="2">
        <v>30000</v>
      </c>
      <c r="E703">
        <v>0</v>
      </c>
      <c r="F703" t="s">
        <v>27</v>
      </c>
      <c r="G703" t="s">
        <v>14</v>
      </c>
      <c r="H703" t="s">
        <v>15</v>
      </c>
      <c r="I703">
        <v>2</v>
      </c>
      <c r="J703" t="s">
        <v>23</v>
      </c>
      <c r="K703" t="s">
        <v>32</v>
      </c>
      <c r="L703">
        <v>26</v>
      </c>
      <c r="M703" t="str" cm="1">
        <f t="array" ref="M703">_xlfn.IFS(
L703&gt;50,"Old Age",
L703&gt;=31,"Middle Age",
L703&lt;31,"Young Age"
)</f>
        <v>Young Age</v>
      </c>
      <c r="N703" t="s">
        <v>18</v>
      </c>
      <c r="O703" t="str" cm="1">
        <f t="array" ref="O703">_xlfn.IFS(D703&gt;120000, "High Income", D703&gt;=80000, "Average Income", D703&lt;80000, "Low Income")</f>
        <v>Low Income</v>
      </c>
      <c r="P703">
        <f>IF(Table24[[#This Row],[Purchased Bike]]="Yes",1,0)</f>
        <v>0</v>
      </c>
    </row>
    <row r="704" spans="1:16" x14ac:dyDescent="0.25">
      <c r="A704">
        <v>13314</v>
      </c>
      <c r="B704" t="s">
        <v>34</v>
      </c>
      <c r="C704" t="s">
        <v>34</v>
      </c>
      <c r="D704" s="2">
        <v>120000</v>
      </c>
      <c r="E704">
        <v>1</v>
      </c>
      <c r="F704" t="s">
        <v>27</v>
      </c>
      <c r="G704" t="s">
        <v>21</v>
      </c>
      <c r="H704" t="s">
        <v>15</v>
      </c>
      <c r="I704">
        <v>4</v>
      </c>
      <c r="J704" t="s">
        <v>23</v>
      </c>
      <c r="K704" t="s">
        <v>32</v>
      </c>
      <c r="L704">
        <v>46</v>
      </c>
      <c r="M704" t="str" cm="1">
        <f t="array" ref="M704">_xlfn.IFS(
L704&gt;50,"Old Age",
L704&gt;=31,"Middle Age",
L704&lt;31,"Young Age"
)</f>
        <v>Middle Age</v>
      </c>
      <c r="N704" t="s">
        <v>15</v>
      </c>
      <c r="O704" t="str" cm="1">
        <f t="array" ref="O704">_xlfn.IFS(D704&gt;120000, "High Income", D704&gt;=80000, "Average Income", D704&lt;80000, "Low Income")</f>
        <v>Average Income</v>
      </c>
      <c r="P704">
        <f>IF(Table24[[#This Row],[Purchased Bike]]="Yes",1,0)</f>
        <v>1</v>
      </c>
    </row>
    <row r="705" spans="1:16" hidden="1" x14ac:dyDescent="0.25">
      <c r="A705">
        <v>11619</v>
      </c>
      <c r="B705" t="s">
        <v>35</v>
      </c>
      <c r="C705" t="s">
        <v>33</v>
      </c>
      <c r="D705" s="2">
        <v>50000</v>
      </c>
      <c r="E705">
        <v>0</v>
      </c>
      <c r="F705" t="s">
        <v>31</v>
      </c>
      <c r="G705" t="s">
        <v>14</v>
      </c>
      <c r="H705" t="s">
        <v>15</v>
      </c>
      <c r="I705">
        <v>0</v>
      </c>
      <c r="J705" t="s">
        <v>26</v>
      </c>
      <c r="K705" t="s">
        <v>32</v>
      </c>
      <c r="L705">
        <v>33</v>
      </c>
      <c r="M705" t="str" cm="1">
        <f t="array" ref="M705">_xlfn.IFS(
L705&gt;50,"Old Age",
L705&gt;=31,"Middle Age",
L705&lt;31,"Young Age"
)</f>
        <v>Middle Age</v>
      </c>
      <c r="N705" t="s">
        <v>18</v>
      </c>
      <c r="O705" t="str" cm="1">
        <f t="array" ref="O705">_xlfn.IFS(D705&gt;120000, "High Income", D705&gt;=80000, "Average Income", D705&lt;80000, "Low Income")</f>
        <v>Low Income</v>
      </c>
      <c r="P705">
        <f>IF(Table24[[#This Row],[Purchased Bike]]="Yes",1,0)</f>
        <v>0</v>
      </c>
    </row>
    <row r="706" spans="1:16" x14ac:dyDescent="0.25">
      <c r="A706">
        <v>29132</v>
      </c>
      <c r="B706" t="s">
        <v>35</v>
      </c>
      <c r="C706" t="s">
        <v>33</v>
      </c>
      <c r="D706" s="2">
        <v>40000</v>
      </c>
      <c r="E706">
        <v>0</v>
      </c>
      <c r="F706" t="s">
        <v>13</v>
      </c>
      <c r="G706" t="s">
        <v>21</v>
      </c>
      <c r="H706" t="s">
        <v>15</v>
      </c>
      <c r="I706">
        <v>1</v>
      </c>
      <c r="J706" t="s">
        <v>22</v>
      </c>
      <c r="K706" t="s">
        <v>32</v>
      </c>
      <c r="L706">
        <v>42</v>
      </c>
      <c r="M706" t="str" cm="1">
        <f t="array" ref="M706">_xlfn.IFS(
L706&gt;50,"Old Age",
L706&gt;=31,"Middle Age",
L706&lt;31,"Young Age"
)</f>
        <v>Middle Age</v>
      </c>
      <c r="N706" t="s">
        <v>15</v>
      </c>
      <c r="O706" t="str" cm="1">
        <f t="array" ref="O706">_xlfn.IFS(D706&gt;120000, "High Income", D706&gt;=80000, "Average Income", D706&lt;80000, "Low Income")</f>
        <v>Low Income</v>
      </c>
      <c r="P706">
        <f>IF(Table24[[#This Row],[Purchased Bike]]="Yes",1,0)</f>
        <v>1</v>
      </c>
    </row>
    <row r="707" spans="1:16" hidden="1" x14ac:dyDescent="0.25">
      <c r="A707">
        <v>11199</v>
      </c>
      <c r="B707" t="s">
        <v>34</v>
      </c>
      <c r="C707" t="s">
        <v>33</v>
      </c>
      <c r="D707" s="2">
        <v>70000</v>
      </c>
      <c r="E707">
        <v>4</v>
      </c>
      <c r="F707" t="s">
        <v>13</v>
      </c>
      <c r="G707" t="s">
        <v>28</v>
      </c>
      <c r="H707" t="s">
        <v>15</v>
      </c>
      <c r="I707">
        <v>1</v>
      </c>
      <c r="J707" t="s">
        <v>30</v>
      </c>
      <c r="K707" t="s">
        <v>32</v>
      </c>
      <c r="L707">
        <v>59</v>
      </c>
      <c r="M707" t="str" cm="1">
        <f t="array" ref="M707">_xlfn.IFS(
L707&gt;50,"Old Age",
L707&gt;=31,"Middle Age",
L707&lt;31,"Young Age"
)</f>
        <v>Old Age</v>
      </c>
      <c r="N707" t="s">
        <v>18</v>
      </c>
      <c r="O707" t="str" cm="1">
        <f t="array" ref="O707">_xlfn.IFS(D707&gt;120000, "High Income", D707&gt;=80000, "Average Income", D707&lt;80000, "Low Income")</f>
        <v>Low Income</v>
      </c>
      <c r="P707">
        <f>IF(Table24[[#This Row],[Purchased Bike]]="Yes",1,0)</f>
        <v>0</v>
      </c>
    </row>
    <row r="708" spans="1:16" x14ac:dyDescent="0.25">
      <c r="A708">
        <v>20296</v>
      </c>
      <c r="B708" t="s">
        <v>35</v>
      </c>
      <c r="C708" t="s">
        <v>33</v>
      </c>
      <c r="D708" s="2">
        <v>60000</v>
      </c>
      <c r="E708">
        <v>0</v>
      </c>
      <c r="F708" t="s">
        <v>19</v>
      </c>
      <c r="G708" t="s">
        <v>14</v>
      </c>
      <c r="H708" t="s">
        <v>18</v>
      </c>
      <c r="I708">
        <v>1</v>
      </c>
      <c r="J708" t="s">
        <v>26</v>
      </c>
      <c r="K708" t="s">
        <v>32</v>
      </c>
      <c r="L708">
        <v>33</v>
      </c>
      <c r="M708" t="str" cm="1">
        <f t="array" ref="M708">_xlfn.IFS(
L708&gt;50,"Old Age",
L708&gt;=31,"Middle Age",
L708&lt;31,"Young Age"
)</f>
        <v>Middle Age</v>
      </c>
      <c r="N708" t="s">
        <v>15</v>
      </c>
      <c r="O708" t="str" cm="1">
        <f t="array" ref="O708">_xlfn.IFS(D708&gt;120000, "High Income", D708&gt;=80000, "Average Income", D708&lt;80000, "Low Income")</f>
        <v>Low Income</v>
      </c>
      <c r="P708">
        <f>IF(Table24[[#This Row],[Purchased Bike]]="Yes",1,0)</f>
        <v>1</v>
      </c>
    </row>
    <row r="709" spans="1:16" x14ac:dyDescent="0.25">
      <c r="A709">
        <v>17546</v>
      </c>
      <c r="B709" t="s">
        <v>34</v>
      </c>
      <c r="C709" t="s">
        <v>33</v>
      </c>
      <c r="D709" s="2">
        <v>70000</v>
      </c>
      <c r="E709">
        <v>1</v>
      </c>
      <c r="F709" t="s">
        <v>19</v>
      </c>
      <c r="G709" t="s">
        <v>14</v>
      </c>
      <c r="H709" t="s">
        <v>15</v>
      </c>
      <c r="I709">
        <v>1</v>
      </c>
      <c r="J709" t="s">
        <v>16</v>
      </c>
      <c r="K709" t="s">
        <v>32</v>
      </c>
      <c r="L709">
        <v>44</v>
      </c>
      <c r="M709" t="str" cm="1">
        <f t="array" ref="M709">_xlfn.IFS(
L709&gt;50,"Old Age",
L709&gt;=31,"Middle Age",
L709&lt;31,"Young Age"
)</f>
        <v>Middle Age</v>
      </c>
      <c r="N709" t="s">
        <v>15</v>
      </c>
      <c r="O709" t="str" cm="1">
        <f t="array" ref="O709">_xlfn.IFS(D709&gt;120000, "High Income", D709&gt;=80000, "Average Income", D709&lt;80000, "Low Income")</f>
        <v>Low Income</v>
      </c>
      <c r="P709">
        <f>IF(Table24[[#This Row],[Purchased Bike]]="Yes",1,0)</f>
        <v>1</v>
      </c>
    </row>
    <row r="710" spans="1:16" hidden="1" x14ac:dyDescent="0.25">
      <c r="A710">
        <v>18069</v>
      </c>
      <c r="B710" t="s">
        <v>34</v>
      </c>
      <c r="C710" t="s">
        <v>34</v>
      </c>
      <c r="D710" s="2">
        <v>70000</v>
      </c>
      <c r="E710">
        <v>5</v>
      </c>
      <c r="F710" t="s">
        <v>13</v>
      </c>
      <c r="G710" t="s">
        <v>28</v>
      </c>
      <c r="H710" t="s">
        <v>15</v>
      </c>
      <c r="I710">
        <v>4</v>
      </c>
      <c r="J710" t="s">
        <v>30</v>
      </c>
      <c r="K710" t="s">
        <v>32</v>
      </c>
      <c r="L710">
        <v>60</v>
      </c>
      <c r="M710" t="str" cm="1">
        <f t="array" ref="M710">_xlfn.IFS(
L710&gt;50,"Old Age",
L710&gt;=31,"Middle Age",
L710&lt;31,"Young Age"
)</f>
        <v>Old Age</v>
      </c>
      <c r="N710" t="s">
        <v>18</v>
      </c>
      <c r="O710" t="str" cm="1">
        <f t="array" ref="O710">_xlfn.IFS(D710&gt;120000, "High Income", D710&gt;=80000, "Average Income", D710&lt;80000, "Low Income")</f>
        <v>Low Income</v>
      </c>
      <c r="P710">
        <f>IF(Table24[[#This Row],[Purchased Bike]]="Yes",1,0)</f>
        <v>0</v>
      </c>
    </row>
    <row r="711" spans="1:16" hidden="1" x14ac:dyDescent="0.25">
      <c r="A711">
        <v>23712</v>
      </c>
      <c r="B711" t="s">
        <v>35</v>
      </c>
      <c r="C711" t="s">
        <v>33</v>
      </c>
      <c r="D711" s="2">
        <v>70000</v>
      </c>
      <c r="E711">
        <v>2</v>
      </c>
      <c r="F711" t="s">
        <v>13</v>
      </c>
      <c r="G711" t="s">
        <v>28</v>
      </c>
      <c r="H711" t="s">
        <v>15</v>
      </c>
      <c r="I711">
        <v>1</v>
      </c>
      <c r="J711" t="s">
        <v>30</v>
      </c>
      <c r="K711" t="s">
        <v>32</v>
      </c>
      <c r="L711">
        <v>59</v>
      </c>
      <c r="M711" t="str" cm="1">
        <f t="array" ref="M711">_xlfn.IFS(
L711&gt;50,"Old Age",
L711&gt;=31,"Middle Age",
L711&lt;31,"Young Age"
)</f>
        <v>Old Age</v>
      </c>
      <c r="N711" t="s">
        <v>18</v>
      </c>
      <c r="O711" t="str" cm="1">
        <f t="array" ref="O711">_xlfn.IFS(D711&gt;120000, "High Income", D711&gt;=80000, "Average Income", D711&lt;80000, "Low Income")</f>
        <v>Low Income</v>
      </c>
      <c r="P711">
        <f>IF(Table24[[#This Row],[Purchased Bike]]="Yes",1,0)</f>
        <v>0</v>
      </c>
    </row>
    <row r="712" spans="1:16" x14ac:dyDescent="0.25">
      <c r="A712">
        <v>23358</v>
      </c>
      <c r="B712" t="s">
        <v>34</v>
      </c>
      <c r="C712" t="s">
        <v>34</v>
      </c>
      <c r="D712" s="2">
        <v>60000</v>
      </c>
      <c r="E712">
        <v>0</v>
      </c>
      <c r="F712" t="s">
        <v>27</v>
      </c>
      <c r="G712" t="s">
        <v>21</v>
      </c>
      <c r="H712" t="s">
        <v>15</v>
      </c>
      <c r="I712">
        <v>2</v>
      </c>
      <c r="J712" t="s">
        <v>23</v>
      </c>
      <c r="K712" t="s">
        <v>32</v>
      </c>
      <c r="L712">
        <v>32</v>
      </c>
      <c r="M712" t="str" cm="1">
        <f t="array" ref="M712">_xlfn.IFS(
L712&gt;50,"Old Age",
L712&gt;=31,"Middle Age",
L712&lt;31,"Young Age"
)</f>
        <v>Middle Age</v>
      </c>
      <c r="N712" t="s">
        <v>15</v>
      </c>
      <c r="O712" t="str" cm="1">
        <f t="array" ref="O712">_xlfn.IFS(D712&gt;120000, "High Income", D712&gt;=80000, "Average Income", D712&lt;80000, "Low Income")</f>
        <v>Low Income</v>
      </c>
      <c r="P712">
        <f>IF(Table24[[#This Row],[Purchased Bike]]="Yes",1,0)</f>
        <v>1</v>
      </c>
    </row>
    <row r="713" spans="1:16" hidden="1" x14ac:dyDescent="0.25">
      <c r="A713">
        <v>20518</v>
      </c>
      <c r="B713" t="s">
        <v>34</v>
      </c>
      <c r="C713" t="s">
        <v>33</v>
      </c>
      <c r="D713" s="2">
        <v>70000</v>
      </c>
      <c r="E713">
        <v>2</v>
      </c>
      <c r="F713" t="s">
        <v>19</v>
      </c>
      <c r="G713" t="s">
        <v>21</v>
      </c>
      <c r="H713" t="s">
        <v>15</v>
      </c>
      <c r="I713">
        <v>1</v>
      </c>
      <c r="J713" t="s">
        <v>30</v>
      </c>
      <c r="K713" t="s">
        <v>32</v>
      </c>
      <c r="L713">
        <v>58</v>
      </c>
      <c r="M713" t="str" cm="1">
        <f t="array" ref="M713">_xlfn.IFS(
L713&gt;50,"Old Age",
L713&gt;=31,"Middle Age",
L713&lt;31,"Young Age"
)</f>
        <v>Old Age</v>
      </c>
      <c r="N713" t="s">
        <v>18</v>
      </c>
      <c r="O713" t="str" cm="1">
        <f t="array" ref="O713">_xlfn.IFS(D713&gt;120000, "High Income", D713&gt;=80000, "Average Income", D713&lt;80000, "Low Income")</f>
        <v>Low Income</v>
      </c>
      <c r="P713">
        <f>IF(Table24[[#This Row],[Purchased Bike]]="Yes",1,0)</f>
        <v>0</v>
      </c>
    </row>
    <row r="714" spans="1:16" hidden="1" x14ac:dyDescent="0.25">
      <c r="A714">
        <v>28026</v>
      </c>
      <c r="B714" t="s">
        <v>34</v>
      </c>
      <c r="C714" t="s">
        <v>33</v>
      </c>
      <c r="D714" s="2">
        <v>40000</v>
      </c>
      <c r="E714">
        <v>2</v>
      </c>
      <c r="F714" t="s">
        <v>27</v>
      </c>
      <c r="G714" t="s">
        <v>21</v>
      </c>
      <c r="H714" t="s">
        <v>18</v>
      </c>
      <c r="I714">
        <v>2</v>
      </c>
      <c r="J714" t="s">
        <v>22</v>
      </c>
      <c r="K714" t="s">
        <v>32</v>
      </c>
      <c r="L714">
        <v>59</v>
      </c>
      <c r="M714" t="str" cm="1">
        <f t="array" ref="M714">_xlfn.IFS(
L714&gt;50,"Old Age",
L714&gt;=31,"Middle Age",
L714&lt;31,"Young Age"
)</f>
        <v>Old Age</v>
      </c>
      <c r="N714" t="s">
        <v>18</v>
      </c>
      <c r="O714" t="str" cm="1">
        <f t="array" ref="O714">_xlfn.IFS(D714&gt;120000, "High Income", D714&gt;=80000, "Average Income", D714&lt;80000, "Low Income")</f>
        <v>Low Income</v>
      </c>
      <c r="P714">
        <f>IF(Table24[[#This Row],[Purchased Bike]]="Yes",1,0)</f>
        <v>0</v>
      </c>
    </row>
    <row r="715" spans="1:16" hidden="1" x14ac:dyDescent="0.25">
      <c r="A715">
        <v>11669</v>
      </c>
      <c r="B715" t="s">
        <v>35</v>
      </c>
      <c r="C715" t="s">
        <v>33</v>
      </c>
      <c r="D715" s="2">
        <v>70000</v>
      </c>
      <c r="E715">
        <v>2</v>
      </c>
      <c r="F715" t="s">
        <v>13</v>
      </c>
      <c r="G715" t="s">
        <v>14</v>
      </c>
      <c r="H715" t="s">
        <v>15</v>
      </c>
      <c r="I715">
        <v>1</v>
      </c>
      <c r="J715" t="s">
        <v>22</v>
      </c>
      <c r="K715" t="s">
        <v>32</v>
      </c>
      <c r="L715">
        <v>38</v>
      </c>
      <c r="M715" t="str" cm="1">
        <f t="array" ref="M715">_xlfn.IFS(
L715&gt;50,"Old Age",
L715&gt;=31,"Middle Age",
L715&lt;31,"Young Age"
)</f>
        <v>Middle Age</v>
      </c>
      <c r="N715" t="s">
        <v>18</v>
      </c>
      <c r="O715" t="str" cm="1">
        <f t="array" ref="O715">_xlfn.IFS(D715&gt;120000, "High Income", D715&gt;=80000, "Average Income", D715&lt;80000, "Low Income")</f>
        <v>Low Income</v>
      </c>
      <c r="P715">
        <f>IF(Table24[[#This Row],[Purchased Bike]]="Yes",1,0)</f>
        <v>0</v>
      </c>
    </row>
    <row r="716" spans="1:16" hidden="1" x14ac:dyDescent="0.25">
      <c r="A716">
        <v>16020</v>
      </c>
      <c r="B716" t="s">
        <v>34</v>
      </c>
      <c r="C716" t="s">
        <v>34</v>
      </c>
      <c r="D716" s="2">
        <v>40000</v>
      </c>
      <c r="E716">
        <v>0</v>
      </c>
      <c r="F716" t="s">
        <v>27</v>
      </c>
      <c r="G716" t="s">
        <v>14</v>
      </c>
      <c r="H716" t="s">
        <v>15</v>
      </c>
      <c r="I716">
        <v>2</v>
      </c>
      <c r="J716" t="s">
        <v>23</v>
      </c>
      <c r="K716" t="s">
        <v>32</v>
      </c>
      <c r="L716">
        <v>28</v>
      </c>
      <c r="M716" t="str" cm="1">
        <f t="array" ref="M716">_xlfn.IFS(
L716&gt;50,"Old Age",
L716&gt;=31,"Middle Age",
L716&lt;31,"Young Age"
)</f>
        <v>Young Age</v>
      </c>
      <c r="N716" t="s">
        <v>15</v>
      </c>
      <c r="O716" t="str" cm="1">
        <f t="array" ref="O716">_xlfn.IFS(D716&gt;120000, "High Income", D716&gt;=80000, "Average Income", D716&lt;80000, "Low Income")</f>
        <v>Low Income</v>
      </c>
      <c r="P716">
        <f>IF(Table24[[#This Row],[Purchased Bike]]="Yes",1,0)</f>
        <v>1</v>
      </c>
    </row>
    <row r="717" spans="1:16" x14ac:dyDescent="0.25">
      <c r="A717">
        <v>27090</v>
      </c>
      <c r="B717" t="s">
        <v>34</v>
      </c>
      <c r="C717" t="s">
        <v>33</v>
      </c>
      <c r="D717" s="2">
        <v>60000</v>
      </c>
      <c r="E717">
        <v>1</v>
      </c>
      <c r="F717" t="s">
        <v>31</v>
      </c>
      <c r="G717" t="s">
        <v>21</v>
      </c>
      <c r="H717" t="s">
        <v>15</v>
      </c>
      <c r="I717">
        <v>0</v>
      </c>
      <c r="J717" t="s">
        <v>22</v>
      </c>
      <c r="K717" t="s">
        <v>32</v>
      </c>
      <c r="L717">
        <v>37</v>
      </c>
      <c r="M717" t="str" cm="1">
        <f t="array" ref="M717">_xlfn.IFS(
L717&gt;50,"Old Age",
L717&gt;=31,"Middle Age",
L717&lt;31,"Young Age"
)</f>
        <v>Middle Age</v>
      </c>
      <c r="N717" t="s">
        <v>15</v>
      </c>
      <c r="O717" t="str" cm="1">
        <f t="array" ref="O717">_xlfn.IFS(D717&gt;120000, "High Income", D717&gt;=80000, "Average Income", D717&lt;80000, "Low Income")</f>
        <v>Low Income</v>
      </c>
      <c r="P717">
        <f>IF(Table24[[#This Row],[Purchased Bike]]="Yes",1,0)</f>
        <v>1</v>
      </c>
    </row>
    <row r="718" spans="1:16" hidden="1" x14ac:dyDescent="0.25">
      <c r="A718">
        <v>27198</v>
      </c>
      <c r="B718" t="s">
        <v>35</v>
      </c>
      <c r="C718" t="s">
        <v>33</v>
      </c>
      <c r="D718" s="2">
        <v>80000</v>
      </c>
      <c r="E718">
        <v>0</v>
      </c>
      <c r="F718" t="s">
        <v>31</v>
      </c>
      <c r="G718" t="s">
        <v>14</v>
      </c>
      <c r="H718" t="s">
        <v>18</v>
      </c>
      <c r="I718">
        <v>0</v>
      </c>
      <c r="J718" t="s">
        <v>16</v>
      </c>
      <c r="K718" t="s">
        <v>32</v>
      </c>
      <c r="L718">
        <v>40</v>
      </c>
      <c r="M718" t="str" cm="1">
        <f t="array" ref="M718">_xlfn.IFS(
L718&gt;50,"Old Age",
L718&gt;=31,"Middle Age",
L718&lt;31,"Young Age"
)</f>
        <v>Middle Age</v>
      </c>
      <c r="N718" t="s">
        <v>18</v>
      </c>
      <c r="O718" t="str" cm="1">
        <f t="array" ref="O718">_xlfn.IFS(D718&gt;120000, "High Income", D718&gt;=80000, "Average Income", D718&lt;80000, "Low Income")</f>
        <v>Average Income</v>
      </c>
      <c r="P718">
        <f>IF(Table24[[#This Row],[Purchased Bike]]="Yes",1,0)</f>
        <v>0</v>
      </c>
    </row>
    <row r="719" spans="1:16" x14ac:dyDescent="0.25">
      <c r="A719">
        <v>19661</v>
      </c>
      <c r="B719" t="s">
        <v>35</v>
      </c>
      <c r="C719" t="s">
        <v>34</v>
      </c>
      <c r="D719" s="2">
        <v>90000</v>
      </c>
      <c r="E719">
        <v>4</v>
      </c>
      <c r="F719" t="s">
        <v>13</v>
      </c>
      <c r="G719" t="s">
        <v>28</v>
      </c>
      <c r="H719" t="s">
        <v>15</v>
      </c>
      <c r="I719">
        <v>1</v>
      </c>
      <c r="J719" t="s">
        <v>26</v>
      </c>
      <c r="K719" t="s">
        <v>32</v>
      </c>
      <c r="L719">
        <v>38</v>
      </c>
      <c r="M719" t="str" cm="1">
        <f t="array" ref="M719">_xlfn.IFS(
L719&gt;50,"Old Age",
L719&gt;=31,"Middle Age",
L719&lt;31,"Young Age"
)</f>
        <v>Middle Age</v>
      </c>
      <c r="N719" t="s">
        <v>15</v>
      </c>
      <c r="O719" t="str" cm="1">
        <f t="array" ref="O719">_xlfn.IFS(D719&gt;120000, "High Income", D719&gt;=80000, "Average Income", D719&lt;80000, "Low Income")</f>
        <v>Average Income</v>
      </c>
      <c r="P719">
        <f>IF(Table24[[#This Row],[Purchased Bike]]="Yes",1,0)</f>
        <v>1</v>
      </c>
    </row>
    <row r="720" spans="1:16" x14ac:dyDescent="0.25">
      <c r="A720">
        <v>26327</v>
      </c>
      <c r="B720" t="s">
        <v>34</v>
      </c>
      <c r="C720" t="s">
        <v>34</v>
      </c>
      <c r="D720" s="2">
        <v>70000</v>
      </c>
      <c r="E720">
        <v>4</v>
      </c>
      <c r="F720" t="s">
        <v>31</v>
      </c>
      <c r="G720" t="s">
        <v>21</v>
      </c>
      <c r="H720" t="s">
        <v>15</v>
      </c>
      <c r="I720">
        <v>0</v>
      </c>
      <c r="J720" t="s">
        <v>22</v>
      </c>
      <c r="K720" t="s">
        <v>32</v>
      </c>
      <c r="L720">
        <v>36</v>
      </c>
      <c r="M720" t="str" cm="1">
        <f t="array" ref="M720">_xlfn.IFS(
L720&gt;50,"Old Age",
L720&gt;=31,"Middle Age",
L720&lt;31,"Young Age"
)</f>
        <v>Middle Age</v>
      </c>
      <c r="N720" t="s">
        <v>15</v>
      </c>
      <c r="O720" t="str" cm="1">
        <f t="array" ref="O720">_xlfn.IFS(D720&gt;120000, "High Income", D720&gt;=80000, "Average Income", D720&lt;80000, "Low Income")</f>
        <v>Low Income</v>
      </c>
      <c r="P720">
        <f>IF(Table24[[#This Row],[Purchased Bike]]="Yes",1,0)</f>
        <v>1</v>
      </c>
    </row>
    <row r="721" spans="1:16" hidden="1" x14ac:dyDescent="0.25">
      <c r="A721">
        <v>26341</v>
      </c>
      <c r="B721" t="s">
        <v>34</v>
      </c>
      <c r="C721" t="s">
        <v>33</v>
      </c>
      <c r="D721" s="2">
        <v>70000</v>
      </c>
      <c r="E721">
        <v>5</v>
      </c>
      <c r="F721" t="s">
        <v>31</v>
      </c>
      <c r="G721" t="s">
        <v>21</v>
      </c>
      <c r="H721" t="s">
        <v>15</v>
      </c>
      <c r="I721">
        <v>2</v>
      </c>
      <c r="J721" t="s">
        <v>16</v>
      </c>
      <c r="K721" t="s">
        <v>32</v>
      </c>
      <c r="L721">
        <v>37</v>
      </c>
      <c r="M721" t="str" cm="1">
        <f t="array" ref="M721">_xlfn.IFS(
L721&gt;50,"Old Age",
L721&gt;=31,"Middle Age",
L721&lt;31,"Young Age"
)</f>
        <v>Middle Age</v>
      </c>
      <c r="N721" t="s">
        <v>18</v>
      </c>
      <c r="O721" t="str" cm="1">
        <f t="array" ref="O721">_xlfn.IFS(D721&gt;120000, "High Income", D721&gt;=80000, "Average Income", D721&lt;80000, "Low Income")</f>
        <v>Low Income</v>
      </c>
      <c r="P721">
        <f>IF(Table24[[#This Row],[Purchased Bike]]="Yes",1,0)</f>
        <v>0</v>
      </c>
    </row>
    <row r="722" spans="1:16" hidden="1" x14ac:dyDescent="0.25">
      <c r="A722">
        <v>24958</v>
      </c>
      <c r="B722" t="s">
        <v>35</v>
      </c>
      <c r="C722" t="s">
        <v>33</v>
      </c>
      <c r="D722" s="2">
        <v>40000</v>
      </c>
      <c r="E722">
        <v>5</v>
      </c>
      <c r="F722" t="s">
        <v>27</v>
      </c>
      <c r="G722" t="s">
        <v>21</v>
      </c>
      <c r="H722" t="s">
        <v>18</v>
      </c>
      <c r="I722">
        <v>3</v>
      </c>
      <c r="J722" t="s">
        <v>22</v>
      </c>
      <c r="K722" t="s">
        <v>32</v>
      </c>
      <c r="L722">
        <v>60</v>
      </c>
      <c r="M722" t="str" cm="1">
        <f t="array" ref="M722">_xlfn.IFS(
L722&gt;50,"Old Age",
L722&gt;=31,"Middle Age",
L722&lt;31,"Young Age"
)</f>
        <v>Old Age</v>
      </c>
      <c r="N722" t="s">
        <v>15</v>
      </c>
      <c r="O722" t="str" cm="1">
        <f t="array" ref="O722">_xlfn.IFS(D722&gt;120000, "High Income", D722&gt;=80000, "Average Income", D722&lt;80000, "Low Income")</f>
        <v>Low Income</v>
      </c>
      <c r="P722">
        <f>IF(Table24[[#This Row],[Purchased Bike]]="Yes",1,0)</f>
        <v>1</v>
      </c>
    </row>
    <row r="723" spans="1:16" x14ac:dyDescent="0.25">
      <c r="A723">
        <v>13287</v>
      </c>
      <c r="B723" t="s">
        <v>35</v>
      </c>
      <c r="C723" t="s">
        <v>34</v>
      </c>
      <c r="D723" s="2">
        <v>110000</v>
      </c>
      <c r="E723">
        <v>4</v>
      </c>
      <c r="F723" t="s">
        <v>13</v>
      </c>
      <c r="G723" t="s">
        <v>28</v>
      </c>
      <c r="H723" t="s">
        <v>15</v>
      </c>
      <c r="I723">
        <v>4</v>
      </c>
      <c r="J723" t="s">
        <v>23</v>
      </c>
      <c r="K723" t="s">
        <v>32</v>
      </c>
      <c r="L723">
        <v>42</v>
      </c>
      <c r="M723" t="str" cm="1">
        <f t="array" ref="M723">_xlfn.IFS(
L723&gt;50,"Old Age",
L723&gt;=31,"Middle Age",
L723&lt;31,"Young Age"
)</f>
        <v>Middle Age</v>
      </c>
      <c r="N723" t="s">
        <v>15</v>
      </c>
      <c r="O723" t="str" cm="1">
        <f t="array" ref="O723">_xlfn.IFS(D723&gt;120000, "High Income", D723&gt;=80000, "Average Income", D723&lt;80000, "Low Income")</f>
        <v>Average Income</v>
      </c>
      <c r="P723">
        <f>IF(Table24[[#This Row],[Purchased Bike]]="Yes",1,0)</f>
        <v>1</v>
      </c>
    </row>
    <row r="724" spans="1:16" hidden="1" x14ac:dyDescent="0.25">
      <c r="A724">
        <v>14493</v>
      </c>
      <c r="B724" t="s">
        <v>35</v>
      </c>
      <c r="C724" t="s">
        <v>33</v>
      </c>
      <c r="D724" s="2">
        <v>70000</v>
      </c>
      <c r="E724">
        <v>3</v>
      </c>
      <c r="F724" t="s">
        <v>31</v>
      </c>
      <c r="G724" t="s">
        <v>28</v>
      </c>
      <c r="H724" t="s">
        <v>18</v>
      </c>
      <c r="I724">
        <v>2</v>
      </c>
      <c r="J724" t="s">
        <v>26</v>
      </c>
      <c r="K724" t="s">
        <v>32</v>
      </c>
      <c r="L724">
        <v>53</v>
      </c>
      <c r="M724" t="str" cm="1">
        <f t="array" ref="M724">_xlfn.IFS(
L724&gt;50,"Old Age",
L724&gt;=31,"Middle Age",
L724&lt;31,"Young Age"
)</f>
        <v>Old Age</v>
      </c>
      <c r="N724" t="s">
        <v>18</v>
      </c>
      <c r="O724" t="str" cm="1">
        <f t="array" ref="O724">_xlfn.IFS(D724&gt;120000, "High Income", D724&gt;=80000, "Average Income", D724&lt;80000, "Low Income")</f>
        <v>Low Income</v>
      </c>
      <c r="P724">
        <f>IF(Table24[[#This Row],[Purchased Bike]]="Yes",1,0)</f>
        <v>0</v>
      </c>
    </row>
    <row r="725" spans="1:16" hidden="1" x14ac:dyDescent="0.25">
      <c r="A725">
        <v>26678</v>
      </c>
      <c r="B725" t="s">
        <v>35</v>
      </c>
      <c r="C725" t="s">
        <v>33</v>
      </c>
      <c r="D725" s="2">
        <v>80000</v>
      </c>
      <c r="E725">
        <v>2</v>
      </c>
      <c r="F725" t="s">
        <v>29</v>
      </c>
      <c r="G725" t="s">
        <v>14</v>
      </c>
      <c r="H725" t="s">
        <v>15</v>
      </c>
      <c r="I725">
        <v>2</v>
      </c>
      <c r="J725" t="s">
        <v>23</v>
      </c>
      <c r="K725" t="s">
        <v>32</v>
      </c>
      <c r="L725">
        <v>49</v>
      </c>
      <c r="M725" t="str" cm="1">
        <f t="array" ref="M725">_xlfn.IFS(
L725&gt;50,"Old Age",
L725&gt;=31,"Middle Age",
L725&lt;31,"Young Age"
)</f>
        <v>Middle Age</v>
      </c>
      <c r="N725" t="s">
        <v>18</v>
      </c>
      <c r="O725" t="str" cm="1">
        <f t="array" ref="O725">_xlfn.IFS(D725&gt;120000, "High Income", D725&gt;=80000, "Average Income", D725&lt;80000, "Low Income")</f>
        <v>Average Income</v>
      </c>
      <c r="P725">
        <f>IF(Table24[[#This Row],[Purchased Bike]]="Yes",1,0)</f>
        <v>0</v>
      </c>
    </row>
    <row r="726" spans="1:16" hidden="1" x14ac:dyDescent="0.25">
      <c r="A726">
        <v>23275</v>
      </c>
      <c r="B726" t="s">
        <v>34</v>
      </c>
      <c r="C726" t="s">
        <v>34</v>
      </c>
      <c r="D726" s="2">
        <v>30000</v>
      </c>
      <c r="E726">
        <v>2</v>
      </c>
      <c r="F726" t="s">
        <v>27</v>
      </c>
      <c r="G726" t="s">
        <v>14</v>
      </c>
      <c r="H726" t="s">
        <v>15</v>
      </c>
      <c r="I726">
        <v>2</v>
      </c>
      <c r="J726" t="s">
        <v>26</v>
      </c>
      <c r="K726" t="s">
        <v>32</v>
      </c>
      <c r="L726">
        <v>49</v>
      </c>
      <c r="M726" t="str" cm="1">
        <f t="array" ref="M726">_xlfn.IFS(
L726&gt;50,"Old Age",
L726&gt;=31,"Middle Age",
L726&lt;31,"Young Age"
)</f>
        <v>Middle Age</v>
      </c>
      <c r="N726" t="s">
        <v>18</v>
      </c>
      <c r="O726" t="str" cm="1">
        <f t="array" ref="O726">_xlfn.IFS(D726&gt;120000, "High Income", D726&gt;=80000, "Average Income", D726&lt;80000, "Low Income")</f>
        <v>Low Income</v>
      </c>
      <c r="P726">
        <f>IF(Table24[[#This Row],[Purchased Bike]]="Yes",1,0)</f>
        <v>0</v>
      </c>
    </row>
    <row r="727" spans="1:16" x14ac:dyDescent="0.25">
      <c r="A727">
        <v>11270</v>
      </c>
      <c r="B727" t="s">
        <v>34</v>
      </c>
      <c r="C727" t="s">
        <v>34</v>
      </c>
      <c r="D727" s="2">
        <v>130000</v>
      </c>
      <c r="E727">
        <v>2</v>
      </c>
      <c r="F727" t="s">
        <v>31</v>
      </c>
      <c r="G727" t="s">
        <v>28</v>
      </c>
      <c r="H727" t="s">
        <v>15</v>
      </c>
      <c r="I727">
        <v>3</v>
      </c>
      <c r="J727" t="s">
        <v>16</v>
      </c>
      <c r="K727" t="s">
        <v>32</v>
      </c>
      <c r="L727">
        <v>42</v>
      </c>
      <c r="M727" t="str" cm="1">
        <f t="array" ref="M727">_xlfn.IFS(
L727&gt;50,"Old Age",
L727&gt;=31,"Middle Age",
L727&lt;31,"Young Age"
)</f>
        <v>Middle Age</v>
      </c>
      <c r="N727" t="s">
        <v>15</v>
      </c>
      <c r="O727" t="str" cm="1">
        <f t="array" ref="O727">_xlfn.IFS(D727&gt;120000, "High Income", D727&gt;=80000, "Average Income", D727&lt;80000, "Low Income")</f>
        <v>High Income</v>
      </c>
      <c r="P727">
        <f>IF(Table24[[#This Row],[Purchased Bike]]="Yes",1,0)</f>
        <v>1</v>
      </c>
    </row>
    <row r="728" spans="1:16" hidden="1" x14ac:dyDescent="0.25">
      <c r="A728">
        <v>20084</v>
      </c>
      <c r="B728" t="s">
        <v>34</v>
      </c>
      <c r="C728" t="s">
        <v>34</v>
      </c>
      <c r="D728" s="2">
        <v>20000</v>
      </c>
      <c r="E728">
        <v>2</v>
      </c>
      <c r="F728" t="s">
        <v>27</v>
      </c>
      <c r="G728" t="s">
        <v>25</v>
      </c>
      <c r="H728" t="s">
        <v>18</v>
      </c>
      <c r="I728">
        <v>2</v>
      </c>
      <c r="J728" t="s">
        <v>16</v>
      </c>
      <c r="K728" t="s">
        <v>32</v>
      </c>
      <c r="L728">
        <v>53</v>
      </c>
      <c r="M728" t="str" cm="1">
        <f t="array" ref="M728">_xlfn.IFS(
L728&gt;50,"Old Age",
L728&gt;=31,"Middle Age",
L728&lt;31,"Young Age"
)</f>
        <v>Old Age</v>
      </c>
      <c r="N728" t="s">
        <v>18</v>
      </c>
      <c r="O728" t="str" cm="1">
        <f t="array" ref="O728">_xlfn.IFS(D728&gt;120000, "High Income", D728&gt;=80000, "Average Income", D728&lt;80000, "Low Income")</f>
        <v>Low Income</v>
      </c>
      <c r="P728">
        <f>IF(Table24[[#This Row],[Purchased Bike]]="Yes",1,0)</f>
        <v>0</v>
      </c>
    </row>
    <row r="729" spans="1:16" x14ac:dyDescent="0.25">
      <c r="A729">
        <v>16144</v>
      </c>
      <c r="B729" t="s">
        <v>34</v>
      </c>
      <c r="C729" t="s">
        <v>34</v>
      </c>
      <c r="D729" s="2">
        <v>70000</v>
      </c>
      <c r="E729">
        <v>1</v>
      </c>
      <c r="F729" t="s">
        <v>31</v>
      </c>
      <c r="G729" t="s">
        <v>21</v>
      </c>
      <c r="H729" t="s">
        <v>15</v>
      </c>
      <c r="I729">
        <v>1</v>
      </c>
      <c r="J729" t="s">
        <v>16</v>
      </c>
      <c r="K729" t="s">
        <v>32</v>
      </c>
      <c r="L729">
        <v>46</v>
      </c>
      <c r="M729" t="str" cm="1">
        <f t="array" ref="M729">_xlfn.IFS(
L729&gt;50,"Old Age",
L729&gt;=31,"Middle Age",
L729&lt;31,"Young Age"
)</f>
        <v>Middle Age</v>
      </c>
      <c r="N729" t="s">
        <v>15</v>
      </c>
      <c r="O729" t="str" cm="1">
        <f t="array" ref="O729">_xlfn.IFS(D729&gt;120000, "High Income", D729&gt;=80000, "Average Income", D729&lt;80000, "Low Income")</f>
        <v>Low Income</v>
      </c>
      <c r="P729">
        <f>IF(Table24[[#This Row],[Purchased Bike]]="Yes",1,0)</f>
        <v>1</v>
      </c>
    </row>
    <row r="730" spans="1:16" hidden="1" x14ac:dyDescent="0.25">
      <c r="A730">
        <v>27731</v>
      </c>
      <c r="B730" t="s">
        <v>34</v>
      </c>
      <c r="C730" t="s">
        <v>34</v>
      </c>
      <c r="D730" s="2">
        <v>40000</v>
      </c>
      <c r="E730">
        <v>0</v>
      </c>
      <c r="F730" t="s">
        <v>27</v>
      </c>
      <c r="G730" t="s">
        <v>14</v>
      </c>
      <c r="H730" t="s">
        <v>15</v>
      </c>
      <c r="I730">
        <v>2</v>
      </c>
      <c r="J730" t="s">
        <v>23</v>
      </c>
      <c r="K730" t="s">
        <v>32</v>
      </c>
      <c r="L730">
        <v>27</v>
      </c>
      <c r="M730" t="str" cm="1">
        <f t="array" ref="M730">_xlfn.IFS(
L730&gt;50,"Old Age",
L730&gt;=31,"Middle Age",
L730&lt;31,"Young Age"
)</f>
        <v>Young Age</v>
      </c>
      <c r="N730" t="s">
        <v>18</v>
      </c>
      <c r="O730" t="str" cm="1">
        <f t="array" ref="O730">_xlfn.IFS(D730&gt;120000, "High Income", D730&gt;=80000, "Average Income", D730&lt;80000, "Low Income")</f>
        <v>Low Income</v>
      </c>
      <c r="P730">
        <f>IF(Table24[[#This Row],[Purchased Bike]]="Yes",1,0)</f>
        <v>0</v>
      </c>
    </row>
    <row r="731" spans="1:16" x14ac:dyDescent="0.25">
      <c r="A731">
        <v>11886</v>
      </c>
      <c r="B731" t="s">
        <v>34</v>
      </c>
      <c r="C731" t="s">
        <v>33</v>
      </c>
      <c r="D731" s="2">
        <v>60000</v>
      </c>
      <c r="E731">
        <v>3</v>
      </c>
      <c r="F731" t="s">
        <v>13</v>
      </c>
      <c r="G731" t="s">
        <v>21</v>
      </c>
      <c r="H731" t="s">
        <v>15</v>
      </c>
      <c r="I731">
        <v>1</v>
      </c>
      <c r="J731" t="s">
        <v>16</v>
      </c>
      <c r="K731" t="s">
        <v>32</v>
      </c>
      <c r="L731">
        <v>48</v>
      </c>
      <c r="M731" t="str" cm="1">
        <f t="array" ref="M731">_xlfn.IFS(
L731&gt;50,"Old Age",
L731&gt;=31,"Middle Age",
L731&lt;31,"Young Age"
)</f>
        <v>Middle Age</v>
      </c>
      <c r="N731" t="s">
        <v>15</v>
      </c>
      <c r="O731" t="str" cm="1">
        <f t="array" ref="O731">_xlfn.IFS(D731&gt;120000, "High Income", D731&gt;=80000, "Average Income", D731&lt;80000, "Low Income")</f>
        <v>Low Income</v>
      </c>
      <c r="P731">
        <f>IF(Table24[[#This Row],[Purchased Bike]]="Yes",1,0)</f>
        <v>1</v>
      </c>
    </row>
    <row r="732" spans="1:16" x14ac:dyDescent="0.25">
      <c r="A732">
        <v>24324</v>
      </c>
      <c r="B732" t="s">
        <v>35</v>
      </c>
      <c r="C732" t="s">
        <v>33</v>
      </c>
      <c r="D732" s="2">
        <v>60000</v>
      </c>
      <c r="E732">
        <v>4</v>
      </c>
      <c r="F732" t="s">
        <v>13</v>
      </c>
      <c r="G732" t="s">
        <v>14</v>
      </c>
      <c r="H732" t="s">
        <v>15</v>
      </c>
      <c r="I732">
        <v>2</v>
      </c>
      <c r="J732" t="s">
        <v>22</v>
      </c>
      <c r="K732" t="s">
        <v>32</v>
      </c>
      <c r="L732">
        <v>41</v>
      </c>
      <c r="M732" t="str" cm="1">
        <f t="array" ref="M732">_xlfn.IFS(
L732&gt;50,"Old Age",
L732&gt;=31,"Middle Age",
L732&lt;31,"Young Age"
)</f>
        <v>Middle Age</v>
      </c>
      <c r="N732" t="s">
        <v>15</v>
      </c>
      <c r="O732" t="str" cm="1">
        <f t="array" ref="O732">_xlfn.IFS(D732&gt;120000, "High Income", D732&gt;=80000, "Average Income", D732&lt;80000, "Low Income")</f>
        <v>Low Income</v>
      </c>
      <c r="P732">
        <f>IF(Table24[[#This Row],[Purchased Bike]]="Yes",1,0)</f>
        <v>1</v>
      </c>
    </row>
    <row r="733" spans="1:16" x14ac:dyDescent="0.25">
      <c r="A733">
        <v>22220</v>
      </c>
      <c r="B733" t="s">
        <v>34</v>
      </c>
      <c r="C733" t="s">
        <v>34</v>
      </c>
      <c r="D733" s="2">
        <v>60000</v>
      </c>
      <c r="E733">
        <v>2</v>
      </c>
      <c r="F733" t="s">
        <v>27</v>
      </c>
      <c r="G733" t="s">
        <v>21</v>
      </c>
      <c r="H733" t="s">
        <v>18</v>
      </c>
      <c r="I733">
        <v>2</v>
      </c>
      <c r="J733" t="s">
        <v>26</v>
      </c>
      <c r="K733" t="s">
        <v>32</v>
      </c>
      <c r="L733">
        <v>49</v>
      </c>
      <c r="M733" t="str" cm="1">
        <f t="array" ref="M733">_xlfn.IFS(
L733&gt;50,"Old Age",
L733&gt;=31,"Middle Age",
L733&lt;31,"Young Age"
)</f>
        <v>Middle Age</v>
      </c>
      <c r="N733" t="s">
        <v>15</v>
      </c>
      <c r="O733" t="str" cm="1">
        <f t="array" ref="O733">_xlfn.IFS(D733&gt;120000, "High Income", D733&gt;=80000, "Average Income", D733&lt;80000, "Low Income")</f>
        <v>Low Income</v>
      </c>
      <c r="P733">
        <f>IF(Table24[[#This Row],[Purchased Bike]]="Yes",1,0)</f>
        <v>1</v>
      </c>
    </row>
    <row r="734" spans="1:16" x14ac:dyDescent="0.25">
      <c r="A734">
        <v>26625</v>
      </c>
      <c r="B734" t="s">
        <v>35</v>
      </c>
      <c r="C734" t="s">
        <v>33</v>
      </c>
      <c r="D734" s="2">
        <v>60000</v>
      </c>
      <c r="E734">
        <v>0</v>
      </c>
      <c r="F734" t="s">
        <v>31</v>
      </c>
      <c r="G734" t="s">
        <v>21</v>
      </c>
      <c r="H734" t="s">
        <v>15</v>
      </c>
      <c r="I734">
        <v>1</v>
      </c>
      <c r="J734" t="s">
        <v>22</v>
      </c>
      <c r="K734" t="s">
        <v>32</v>
      </c>
      <c r="L734">
        <v>38</v>
      </c>
      <c r="M734" t="str" cm="1">
        <f t="array" ref="M734">_xlfn.IFS(
L734&gt;50,"Old Age",
L734&gt;=31,"Middle Age",
L734&lt;31,"Young Age"
)</f>
        <v>Middle Age</v>
      </c>
      <c r="N734" t="s">
        <v>15</v>
      </c>
      <c r="O734" t="str" cm="1">
        <f t="array" ref="O734">_xlfn.IFS(D734&gt;120000, "High Income", D734&gt;=80000, "Average Income", D734&lt;80000, "Low Income")</f>
        <v>Low Income</v>
      </c>
      <c r="P734">
        <f>IF(Table24[[#This Row],[Purchased Bike]]="Yes",1,0)</f>
        <v>1</v>
      </c>
    </row>
    <row r="735" spans="1:16" hidden="1" x14ac:dyDescent="0.25">
      <c r="A735">
        <v>23027</v>
      </c>
      <c r="B735" t="s">
        <v>35</v>
      </c>
      <c r="C735" t="s">
        <v>34</v>
      </c>
      <c r="D735" s="2">
        <v>130000</v>
      </c>
      <c r="E735">
        <v>1</v>
      </c>
      <c r="F735" t="s">
        <v>13</v>
      </c>
      <c r="G735" t="s">
        <v>28</v>
      </c>
      <c r="H735" t="s">
        <v>18</v>
      </c>
      <c r="I735">
        <v>4</v>
      </c>
      <c r="J735" t="s">
        <v>16</v>
      </c>
      <c r="K735" t="s">
        <v>32</v>
      </c>
      <c r="L735">
        <v>44</v>
      </c>
      <c r="M735" t="str" cm="1">
        <f t="array" ref="M735">_xlfn.IFS(
L735&gt;50,"Old Age",
L735&gt;=31,"Middle Age",
L735&lt;31,"Young Age"
)</f>
        <v>Middle Age</v>
      </c>
      <c r="N735" t="s">
        <v>18</v>
      </c>
      <c r="O735" t="str" cm="1">
        <f t="array" ref="O735">_xlfn.IFS(D735&gt;120000, "High Income", D735&gt;=80000, "Average Income", D735&lt;80000, "Low Income")</f>
        <v>High Income</v>
      </c>
      <c r="P735">
        <f>IF(Table24[[#This Row],[Purchased Bike]]="Yes",1,0)</f>
        <v>0</v>
      </c>
    </row>
    <row r="736" spans="1:16" x14ac:dyDescent="0.25">
      <c r="A736">
        <v>16867</v>
      </c>
      <c r="B736" t="s">
        <v>35</v>
      </c>
      <c r="C736" t="s">
        <v>33</v>
      </c>
      <c r="D736" s="2">
        <v>130000</v>
      </c>
      <c r="E736">
        <v>1</v>
      </c>
      <c r="F736" t="s">
        <v>13</v>
      </c>
      <c r="G736" t="s">
        <v>28</v>
      </c>
      <c r="H736" t="s">
        <v>18</v>
      </c>
      <c r="I736">
        <v>3</v>
      </c>
      <c r="J736" t="s">
        <v>16</v>
      </c>
      <c r="K736" t="s">
        <v>32</v>
      </c>
      <c r="L736">
        <v>45</v>
      </c>
      <c r="M736" t="str" cm="1">
        <f t="array" ref="M736">_xlfn.IFS(
L736&gt;50,"Old Age",
L736&gt;=31,"Middle Age",
L736&lt;31,"Young Age"
)</f>
        <v>Middle Age</v>
      </c>
      <c r="N736" t="s">
        <v>15</v>
      </c>
      <c r="O736" t="str" cm="1">
        <f t="array" ref="O736">_xlfn.IFS(D736&gt;120000, "High Income", D736&gt;=80000, "Average Income", D736&lt;80000, "Low Income")</f>
        <v>High Income</v>
      </c>
      <c r="P736">
        <f>IF(Table24[[#This Row],[Purchased Bike]]="Yes",1,0)</f>
        <v>1</v>
      </c>
    </row>
    <row r="737" spans="1:16" hidden="1" x14ac:dyDescent="0.25">
      <c r="A737">
        <v>14514</v>
      </c>
      <c r="B737" t="s">
        <v>35</v>
      </c>
      <c r="C737" t="s">
        <v>33</v>
      </c>
      <c r="D737" s="2">
        <v>30000</v>
      </c>
      <c r="E737">
        <v>0</v>
      </c>
      <c r="F737" t="s">
        <v>19</v>
      </c>
      <c r="G737" t="s">
        <v>14</v>
      </c>
      <c r="H737" t="s">
        <v>15</v>
      </c>
      <c r="I737">
        <v>1</v>
      </c>
      <c r="J737" t="s">
        <v>23</v>
      </c>
      <c r="K737" t="s">
        <v>32</v>
      </c>
      <c r="L737">
        <v>26</v>
      </c>
      <c r="M737" t="str" cm="1">
        <f t="array" ref="M737">_xlfn.IFS(
L737&gt;50,"Old Age",
L737&gt;=31,"Middle Age",
L737&lt;31,"Young Age"
)</f>
        <v>Young Age</v>
      </c>
      <c r="N737" t="s">
        <v>18</v>
      </c>
      <c r="O737" t="str" cm="1">
        <f t="array" ref="O737">_xlfn.IFS(D737&gt;120000, "High Income", D737&gt;=80000, "Average Income", D737&lt;80000, "Low Income")</f>
        <v>Low Income</v>
      </c>
      <c r="P737">
        <f>IF(Table24[[#This Row],[Purchased Bike]]="Yes",1,0)</f>
        <v>0</v>
      </c>
    </row>
    <row r="738" spans="1:16" hidden="1" x14ac:dyDescent="0.25">
      <c r="A738">
        <v>19634</v>
      </c>
      <c r="B738" t="s">
        <v>34</v>
      </c>
      <c r="C738" t="s">
        <v>34</v>
      </c>
      <c r="D738" s="2">
        <v>40000</v>
      </c>
      <c r="E738">
        <v>0</v>
      </c>
      <c r="F738" t="s">
        <v>27</v>
      </c>
      <c r="G738" t="s">
        <v>14</v>
      </c>
      <c r="H738" t="s">
        <v>15</v>
      </c>
      <c r="I738">
        <v>1</v>
      </c>
      <c r="J738" t="s">
        <v>23</v>
      </c>
      <c r="K738" t="s">
        <v>32</v>
      </c>
      <c r="L738">
        <v>31</v>
      </c>
      <c r="M738" t="str" cm="1">
        <f t="array" ref="M738">_xlfn.IFS(
L738&gt;50,"Old Age",
L738&gt;=31,"Middle Age",
L738&lt;31,"Young Age"
)</f>
        <v>Middle Age</v>
      </c>
      <c r="N738" t="s">
        <v>18</v>
      </c>
      <c r="O738" t="str" cm="1">
        <f t="array" ref="O738">_xlfn.IFS(D738&gt;120000, "High Income", D738&gt;=80000, "Average Income", D738&lt;80000, "Low Income")</f>
        <v>Low Income</v>
      </c>
      <c r="P738">
        <f>IF(Table24[[#This Row],[Purchased Bike]]="Yes",1,0)</f>
        <v>0</v>
      </c>
    </row>
    <row r="739" spans="1:16" hidden="1" x14ac:dyDescent="0.25">
      <c r="A739">
        <v>18504</v>
      </c>
      <c r="B739" t="s">
        <v>34</v>
      </c>
      <c r="C739" t="s">
        <v>34</v>
      </c>
      <c r="D739" s="2">
        <v>70000</v>
      </c>
      <c r="E739">
        <v>2</v>
      </c>
      <c r="F739" t="s">
        <v>29</v>
      </c>
      <c r="G739" t="s">
        <v>14</v>
      </c>
      <c r="H739" t="s">
        <v>18</v>
      </c>
      <c r="I739">
        <v>2</v>
      </c>
      <c r="J739" t="s">
        <v>26</v>
      </c>
      <c r="K739" t="s">
        <v>32</v>
      </c>
      <c r="L739">
        <v>49</v>
      </c>
      <c r="M739" t="str" cm="1">
        <f t="array" ref="M739">_xlfn.IFS(
L739&gt;50,"Old Age",
L739&gt;=31,"Middle Age",
L739&lt;31,"Young Age"
)</f>
        <v>Middle Age</v>
      </c>
      <c r="N739" t="s">
        <v>18</v>
      </c>
      <c r="O739" t="str" cm="1">
        <f t="array" ref="O739">_xlfn.IFS(D739&gt;120000, "High Income", D739&gt;=80000, "Average Income", D739&lt;80000, "Low Income")</f>
        <v>Low Income</v>
      </c>
      <c r="P739">
        <f>IF(Table24[[#This Row],[Purchased Bike]]="Yes",1,0)</f>
        <v>0</v>
      </c>
    </row>
    <row r="740" spans="1:16" x14ac:dyDescent="0.25">
      <c r="A740">
        <v>28799</v>
      </c>
      <c r="B740" t="s">
        <v>35</v>
      </c>
      <c r="C740" t="s">
        <v>33</v>
      </c>
      <c r="D740" s="2">
        <v>40000</v>
      </c>
      <c r="E740">
        <v>2</v>
      </c>
      <c r="F740" t="s">
        <v>19</v>
      </c>
      <c r="G740" t="s">
        <v>20</v>
      </c>
      <c r="H740" t="s">
        <v>18</v>
      </c>
      <c r="I740">
        <v>1</v>
      </c>
      <c r="J740" t="s">
        <v>26</v>
      </c>
      <c r="K740" t="s">
        <v>32</v>
      </c>
      <c r="L740">
        <v>47</v>
      </c>
      <c r="M740" t="str" cm="1">
        <f t="array" ref="M740">_xlfn.IFS(
L740&gt;50,"Old Age",
L740&gt;=31,"Middle Age",
L740&lt;31,"Young Age"
)</f>
        <v>Middle Age</v>
      </c>
      <c r="N740" t="s">
        <v>15</v>
      </c>
      <c r="O740" t="str" cm="1">
        <f t="array" ref="O740">_xlfn.IFS(D740&gt;120000, "High Income", D740&gt;=80000, "Average Income", D740&lt;80000, "Low Income")</f>
        <v>Low Income</v>
      </c>
      <c r="P740">
        <f>IF(Table24[[#This Row],[Purchased Bike]]="Yes",1,0)</f>
        <v>1</v>
      </c>
    </row>
    <row r="741" spans="1:16" hidden="1" x14ac:dyDescent="0.25">
      <c r="A741">
        <v>11225</v>
      </c>
      <c r="B741" t="s">
        <v>34</v>
      </c>
      <c r="C741" t="s">
        <v>33</v>
      </c>
      <c r="D741" s="2">
        <v>60000</v>
      </c>
      <c r="E741">
        <v>2</v>
      </c>
      <c r="F741" t="s">
        <v>19</v>
      </c>
      <c r="G741" t="s">
        <v>21</v>
      </c>
      <c r="H741" t="s">
        <v>15</v>
      </c>
      <c r="I741">
        <v>1</v>
      </c>
      <c r="J741" t="s">
        <v>30</v>
      </c>
      <c r="K741" t="s">
        <v>32</v>
      </c>
      <c r="L741">
        <v>55</v>
      </c>
      <c r="M741" t="str" cm="1">
        <f t="array" ref="M741">_xlfn.IFS(
L741&gt;50,"Old Age",
L741&gt;=31,"Middle Age",
L741&lt;31,"Young Age"
)</f>
        <v>Old Age</v>
      </c>
      <c r="N741" t="s">
        <v>18</v>
      </c>
      <c r="O741" t="str" cm="1">
        <f t="array" ref="O741">_xlfn.IFS(D741&gt;120000, "High Income", D741&gt;=80000, "Average Income", D741&lt;80000, "Low Income")</f>
        <v>Low Income</v>
      </c>
      <c r="P741">
        <f>IF(Table24[[#This Row],[Purchased Bike]]="Yes",1,0)</f>
        <v>0</v>
      </c>
    </row>
    <row r="742" spans="1:16" hidden="1" x14ac:dyDescent="0.25">
      <c r="A742">
        <v>17657</v>
      </c>
      <c r="B742" t="s">
        <v>34</v>
      </c>
      <c r="C742" t="s">
        <v>34</v>
      </c>
      <c r="D742" s="2">
        <v>40000</v>
      </c>
      <c r="E742">
        <v>4</v>
      </c>
      <c r="F742" t="s">
        <v>19</v>
      </c>
      <c r="G742" t="s">
        <v>20</v>
      </c>
      <c r="H742" t="s">
        <v>18</v>
      </c>
      <c r="I742">
        <v>0</v>
      </c>
      <c r="J742" t="s">
        <v>16</v>
      </c>
      <c r="K742" t="s">
        <v>32</v>
      </c>
      <c r="L742">
        <v>30</v>
      </c>
      <c r="M742" t="str" cm="1">
        <f t="array" ref="M742">_xlfn.IFS(
L742&gt;50,"Old Age",
L742&gt;=31,"Middle Age",
L742&lt;31,"Young Age"
)</f>
        <v>Young Age</v>
      </c>
      <c r="N742" t="s">
        <v>18</v>
      </c>
      <c r="O742" t="str" cm="1">
        <f t="array" ref="O742">_xlfn.IFS(D742&gt;120000, "High Income", D742&gt;=80000, "Average Income", D742&lt;80000, "Low Income")</f>
        <v>Low Income</v>
      </c>
      <c r="P742">
        <f>IF(Table24[[#This Row],[Purchased Bike]]="Yes",1,0)</f>
        <v>0</v>
      </c>
    </row>
    <row r="743" spans="1:16" x14ac:dyDescent="0.25">
      <c r="A743">
        <v>14913</v>
      </c>
      <c r="B743" t="s">
        <v>34</v>
      </c>
      <c r="C743" t="s">
        <v>33</v>
      </c>
      <c r="D743" s="2">
        <v>40000</v>
      </c>
      <c r="E743">
        <v>1</v>
      </c>
      <c r="F743" t="s">
        <v>19</v>
      </c>
      <c r="G743" t="s">
        <v>20</v>
      </c>
      <c r="H743" t="s">
        <v>15</v>
      </c>
      <c r="I743">
        <v>1</v>
      </c>
      <c r="J743" t="s">
        <v>26</v>
      </c>
      <c r="K743" t="s">
        <v>32</v>
      </c>
      <c r="L743">
        <v>48</v>
      </c>
      <c r="M743" t="str" cm="1">
        <f t="array" ref="M743">_xlfn.IFS(
L743&gt;50,"Old Age",
L743&gt;=31,"Middle Age",
L743&lt;31,"Young Age"
)</f>
        <v>Middle Age</v>
      </c>
      <c r="N743" t="s">
        <v>15</v>
      </c>
      <c r="O743" t="str" cm="1">
        <f t="array" ref="O743">_xlfn.IFS(D743&gt;120000, "High Income", D743&gt;=80000, "Average Income", D743&lt;80000, "Low Income")</f>
        <v>Low Income</v>
      </c>
      <c r="P743">
        <f>IF(Table24[[#This Row],[Purchased Bike]]="Yes",1,0)</f>
        <v>1</v>
      </c>
    </row>
    <row r="744" spans="1:16" hidden="1" x14ac:dyDescent="0.25">
      <c r="A744">
        <v>14077</v>
      </c>
      <c r="B744" t="s">
        <v>35</v>
      </c>
      <c r="C744" t="s">
        <v>34</v>
      </c>
      <c r="D744" s="2">
        <v>30000</v>
      </c>
      <c r="E744">
        <v>0</v>
      </c>
      <c r="F744" t="s">
        <v>27</v>
      </c>
      <c r="G744" t="s">
        <v>14</v>
      </c>
      <c r="H744" t="s">
        <v>15</v>
      </c>
      <c r="I744">
        <v>2</v>
      </c>
      <c r="J744" t="s">
        <v>23</v>
      </c>
      <c r="K744" t="s">
        <v>32</v>
      </c>
      <c r="L744">
        <v>30</v>
      </c>
      <c r="M744" t="str" cm="1">
        <f t="array" ref="M744">_xlfn.IFS(
L744&gt;50,"Old Age",
L744&gt;=31,"Middle Age",
L744&lt;31,"Young Age"
)</f>
        <v>Young Age</v>
      </c>
      <c r="N744" t="s">
        <v>18</v>
      </c>
      <c r="O744" t="str" cm="1">
        <f t="array" ref="O744">_xlfn.IFS(D744&gt;120000, "High Income", D744&gt;=80000, "Average Income", D744&lt;80000, "Low Income")</f>
        <v>Low Income</v>
      </c>
      <c r="P744">
        <f>IF(Table24[[#This Row],[Purchased Bike]]="Yes",1,0)</f>
        <v>0</v>
      </c>
    </row>
    <row r="745" spans="1:16" hidden="1" x14ac:dyDescent="0.25">
      <c r="A745">
        <v>13296</v>
      </c>
      <c r="B745" t="s">
        <v>34</v>
      </c>
      <c r="C745" t="s">
        <v>34</v>
      </c>
      <c r="D745" s="2">
        <v>110000</v>
      </c>
      <c r="E745">
        <v>1</v>
      </c>
      <c r="F745" t="s">
        <v>13</v>
      </c>
      <c r="G745" t="s">
        <v>28</v>
      </c>
      <c r="H745" t="s">
        <v>15</v>
      </c>
      <c r="I745">
        <v>3</v>
      </c>
      <c r="J745" t="s">
        <v>23</v>
      </c>
      <c r="K745" t="s">
        <v>32</v>
      </c>
      <c r="L745">
        <v>45</v>
      </c>
      <c r="M745" t="str" cm="1">
        <f t="array" ref="M745">_xlfn.IFS(
L745&gt;50,"Old Age",
L745&gt;=31,"Middle Age",
L745&lt;31,"Young Age"
)</f>
        <v>Middle Age</v>
      </c>
      <c r="N745" t="s">
        <v>18</v>
      </c>
      <c r="O745" t="str" cm="1">
        <f t="array" ref="O745">_xlfn.IFS(D745&gt;120000, "High Income", D745&gt;=80000, "Average Income", D745&lt;80000, "Low Income")</f>
        <v>Average Income</v>
      </c>
      <c r="P745">
        <f>IF(Table24[[#This Row],[Purchased Bike]]="Yes",1,0)</f>
        <v>0</v>
      </c>
    </row>
    <row r="746" spans="1:16" hidden="1" x14ac:dyDescent="0.25">
      <c r="A746">
        <v>20535</v>
      </c>
      <c r="B746" t="s">
        <v>34</v>
      </c>
      <c r="C746" t="s">
        <v>33</v>
      </c>
      <c r="D746" s="2">
        <v>70000</v>
      </c>
      <c r="E746">
        <v>4</v>
      </c>
      <c r="F746" t="s">
        <v>19</v>
      </c>
      <c r="G746" t="s">
        <v>21</v>
      </c>
      <c r="H746" t="s">
        <v>15</v>
      </c>
      <c r="I746">
        <v>1</v>
      </c>
      <c r="J746" t="s">
        <v>30</v>
      </c>
      <c r="K746" t="s">
        <v>32</v>
      </c>
      <c r="L746">
        <v>56</v>
      </c>
      <c r="M746" t="str" cm="1">
        <f t="array" ref="M746">_xlfn.IFS(
L746&gt;50,"Old Age",
L746&gt;=31,"Middle Age",
L746&lt;31,"Young Age"
)</f>
        <v>Old Age</v>
      </c>
      <c r="N746" t="s">
        <v>18</v>
      </c>
      <c r="O746" t="str" cm="1">
        <f t="array" ref="O746">_xlfn.IFS(D746&gt;120000, "High Income", D746&gt;=80000, "Average Income", D746&lt;80000, "Low Income")</f>
        <v>Low Income</v>
      </c>
      <c r="P746">
        <f>IF(Table24[[#This Row],[Purchased Bike]]="Yes",1,0)</f>
        <v>0</v>
      </c>
    </row>
    <row r="747" spans="1:16" x14ac:dyDescent="0.25">
      <c r="A747">
        <v>12452</v>
      </c>
      <c r="B747" t="s">
        <v>34</v>
      </c>
      <c r="C747" t="s">
        <v>34</v>
      </c>
      <c r="D747" s="2">
        <v>60000</v>
      </c>
      <c r="E747">
        <v>4</v>
      </c>
      <c r="F747" t="s">
        <v>31</v>
      </c>
      <c r="G747" t="s">
        <v>14</v>
      </c>
      <c r="H747" t="s">
        <v>15</v>
      </c>
      <c r="I747">
        <v>0</v>
      </c>
      <c r="J747" t="s">
        <v>26</v>
      </c>
      <c r="K747" t="s">
        <v>32</v>
      </c>
      <c r="L747">
        <v>47</v>
      </c>
      <c r="M747" t="str" cm="1">
        <f t="array" ref="M747">_xlfn.IFS(
L747&gt;50,"Old Age",
L747&gt;=31,"Middle Age",
L747&lt;31,"Young Age"
)</f>
        <v>Middle Age</v>
      </c>
      <c r="N747" t="s">
        <v>15</v>
      </c>
      <c r="O747" t="str" cm="1">
        <f t="array" ref="O747">_xlfn.IFS(D747&gt;120000, "High Income", D747&gt;=80000, "Average Income", D747&lt;80000, "Low Income")</f>
        <v>Low Income</v>
      </c>
      <c r="P747">
        <f>IF(Table24[[#This Row],[Purchased Bike]]="Yes",1,0)</f>
        <v>1</v>
      </c>
    </row>
    <row r="748" spans="1:16" hidden="1" x14ac:dyDescent="0.25">
      <c r="A748">
        <v>28043</v>
      </c>
      <c r="B748" t="s">
        <v>34</v>
      </c>
      <c r="C748" t="s">
        <v>33</v>
      </c>
      <c r="D748" s="2">
        <v>60000</v>
      </c>
      <c r="E748">
        <v>2</v>
      </c>
      <c r="F748" t="s">
        <v>13</v>
      </c>
      <c r="G748" t="s">
        <v>28</v>
      </c>
      <c r="H748" t="s">
        <v>15</v>
      </c>
      <c r="I748">
        <v>0</v>
      </c>
      <c r="J748" t="s">
        <v>30</v>
      </c>
      <c r="K748" t="s">
        <v>32</v>
      </c>
      <c r="L748">
        <v>56</v>
      </c>
      <c r="M748" t="str" cm="1">
        <f t="array" ref="M748">_xlfn.IFS(
L748&gt;50,"Old Age",
L748&gt;=31,"Middle Age",
L748&lt;31,"Young Age"
)</f>
        <v>Old Age</v>
      </c>
      <c r="N748" t="s">
        <v>18</v>
      </c>
      <c r="O748" t="str" cm="1">
        <f t="array" ref="O748">_xlfn.IFS(D748&gt;120000, "High Income", D748&gt;=80000, "Average Income", D748&lt;80000, "Low Income")</f>
        <v>Low Income</v>
      </c>
      <c r="P748">
        <f>IF(Table24[[#This Row],[Purchased Bike]]="Yes",1,0)</f>
        <v>0</v>
      </c>
    </row>
    <row r="749" spans="1:16" hidden="1" x14ac:dyDescent="0.25">
      <c r="A749">
        <v>12957</v>
      </c>
      <c r="B749" t="s">
        <v>35</v>
      </c>
      <c r="C749" t="s">
        <v>33</v>
      </c>
      <c r="D749" s="2">
        <v>70000</v>
      </c>
      <c r="E749">
        <v>1</v>
      </c>
      <c r="F749" t="s">
        <v>13</v>
      </c>
      <c r="G749" t="s">
        <v>21</v>
      </c>
      <c r="H749" t="s">
        <v>18</v>
      </c>
      <c r="I749">
        <v>1</v>
      </c>
      <c r="J749" t="s">
        <v>16</v>
      </c>
      <c r="K749" t="s">
        <v>32</v>
      </c>
      <c r="L749">
        <v>44</v>
      </c>
      <c r="M749" t="str" cm="1">
        <f t="array" ref="M749">_xlfn.IFS(
L749&gt;50,"Old Age",
L749&gt;=31,"Middle Age",
L749&lt;31,"Young Age"
)</f>
        <v>Middle Age</v>
      </c>
      <c r="N749" t="s">
        <v>18</v>
      </c>
      <c r="O749" t="str" cm="1">
        <f t="array" ref="O749">_xlfn.IFS(D749&gt;120000, "High Income", D749&gt;=80000, "Average Income", D749&lt;80000, "Low Income")</f>
        <v>Low Income</v>
      </c>
      <c r="P749">
        <f>IF(Table24[[#This Row],[Purchased Bike]]="Yes",1,0)</f>
        <v>0</v>
      </c>
    </row>
    <row r="750" spans="1:16" hidden="1" x14ac:dyDescent="0.25">
      <c r="A750">
        <v>15412</v>
      </c>
      <c r="B750" t="s">
        <v>34</v>
      </c>
      <c r="C750" t="s">
        <v>34</v>
      </c>
      <c r="D750" s="2">
        <v>130000</v>
      </c>
      <c r="E750">
        <v>2</v>
      </c>
      <c r="F750" t="s">
        <v>31</v>
      </c>
      <c r="G750" t="s">
        <v>28</v>
      </c>
      <c r="H750" t="s">
        <v>15</v>
      </c>
      <c r="I750">
        <v>3</v>
      </c>
      <c r="J750" t="s">
        <v>22</v>
      </c>
      <c r="K750" t="s">
        <v>32</v>
      </c>
      <c r="L750">
        <v>69</v>
      </c>
      <c r="M750" t="str" cm="1">
        <f t="array" ref="M750">_xlfn.IFS(
L750&gt;50,"Old Age",
L750&gt;=31,"Middle Age",
L750&lt;31,"Young Age"
)</f>
        <v>Old Age</v>
      </c>
      <c r="N750" t="s">
        <v>18</v>
      </c>
      <c r="O750" t="str" cm="1">
        <f t="array" ref="O750">_xlfn.IFS(D750&gt;120000, "High Income", D750&gt;=80000, "Average Income", D750&lt;80000, "Low Income")</f>
        <v>High Income</v>
      </c>
      <c r="P750">
        <f>IF(Table24[[#This Row],[Purchased Bike]]="Yes",1,0)</f>
        <v>0</v>
      </c>
    </row>
    <row r="751" spans="1:16" hidden="1" x14ac:dyDescent="0.25">
      <c r="A751">
        <v>20514</v>
      </c>
      <c r="B751" t="s">
        <v>34</v>
      </c>
      <c r="C751" t="s">
        <v>33</v>
      </c>
      <c r="D751" s="2">
        <v>70000</v>
      </c>
      <c r="E751">
        <v>2</v>
      </c>
      <c r="F751" t="s">
        <v>19</v>
      </c>
      <c r="G751" t="s">
        <v>21</v>
      </c>
      <c r="H751" t="s">
        <v>15</v>
      </c>
      <c r="I751">
        <v>1</v>
      </c>
      <c r="J751" t="s">
        <v>22</v>
      </c>
      <c r="K751" t="s">
        <v>32</v>
      </c>
      <c r="L751">
        <v>59</v>
      </c>
      <c r="M751" t="str" cm="1">
        <f t="array" ref="M751">_xlfn.IFS(
L751&gt;50,"Old Age",
L751&gt;=31,"Middle Age",
L751&lt;31,"Young Age"
)</f>
        <v>Old Age</v>
      </c>
      <c r="N751" t="s">
        <v>18</v>
      </c>
      <c r="O751" t="str" cm="1">
        <f t="array" ref="O751">_xlfn.IFS(D751&gt;120000, "High Income", D751&gt;=80000, "Average Income", D751&lt;80000, "Low Income")</f>
        <v>Low Income</v>
      </c>
      <c r="P751">
        <f>IF(Table24[[#This Row],[Purchased Bike]]="Yes",1,0)</f>
        <v>0</v>
      </c>
    </row>
    <row r="752" spans="1:16" hidden="1" x14ac:dyDescent="0.25">
      <c r="A752">
        <v>20758</v>
      </c>
      <c r="B752" t="s">
        <v>34</v>
      </c>
      <c r="C752" t="s">
        <v>34</v>
      </c>
      <c r="D752" s="2">
        <v>30000</v>
      </c>
      <c r="E752">
        <v>2</v>
      </c>
      <c r="F752" t="s">
        <v>27</v>
      </c>
      <c r="G752" t="s">
        <v>14</v>
      </c>
      <c r="H752" t="s">
        <v>15</v>
      </c>
      <c r="I752">
        <v>2</v>
      </c>
      <c r="J752" t="s">
        <v>26</v>
      </c>
      <c r="K752" t="s">
        <v>32</v>
      </c>
      <c r="L752">
        <v>50</v>
      </c>
      <c r="M752" t="str" cm="1">
        <f t="array" ref="M752">_xlfn.IFS(
L752&gt;50,"Old Age",
L752&gt;=31,"Middle Age",
L752&lt;31,"Young Age"
)</f>
        <v>Middle Age</v>
      </c>
      <c r="N752" t="s">
        <v>18</v>
      </c>
      <c r="O752" t="str" cm="1">
        <f t="array" ref="O752">_xlfn.IFS(D752&gt;120000, "High Income", D752&gt;=80000, "Average Income", D752&lt;80000, "Low Income")</f>
        <v>Low Income</v>
      </c>
      <c r="P752">
        <f>IF(Table24[[#This Row],[Purchased Bike]]="Yes",1,0)</f>
        <v>0</v>
      </c>
    </row>
    <row r="753" spans="1:16" hidden="1" x14ac:dyDescent="0.25">
      <c r="A753">
        <v>11801</v>
      </c>
      <c r="B753" t="s">
        <v>34</v>
      </c>
      <c r="C753" t="s">
        <v>34</v>
      </c>
      <c r="D753" s="2">
        <v>60000</v>
      </c>
      <c r="E753">
        <v>1</v>
      </c>
      <c r="F753" t="s">
        <v>31</v>
      </c>
      <c r="G753" t="s">
        <v>21</v>
      </c>
      <c r="H753" t="s">
        <v>15</v>
      </c>
      <c r="I753">
        <v>0</v>
      </c>
      <c r="J753" t="s">
        <v>22</v>
      </c>
      <c r="K753" t="s">
        <v>32</v>
      </c>
      <c r="L753">
        <v>36</v>
      </c>
      <c r="M753" t="str" cm="1">
        <f t="array" ref="M753">_xlfn.IFS(
L753&gt;50,"Old Age",
L753&gt;=31,"Middle Age",
L753&lt;31,"Young Age"
)</f>
        <v>Middle Age</v>
      </c>
      <c r="N753" t="s">
        <v>18</v>
      </c>
      <c r="O753" t="str" cm="1">
        <f t="array" ref="O753">_xlfn.IFS(D753&gt;120000, "High Income", D753&gt;=80000, "Average Income", D753&lt;80000, "Low Income")</f>
        <v>Low Income</v>
      </c>
      <c r="P753">
        <f>IF(Table24[[#This Row],[Purchased Bike]]="Yes",1,0)</f>
        <v>0</v>
      </c>
    </row>
    <row r="754" spans="1:16" hidden="1" x14ac:dyDescent="0.25">
      <c r="A754">
        <v>22211</v>
      </c>
      <c r="B754" t="s">
        <v>34</v>
      </c>
      <c r="C754" t="s">
        <v>34</v>
      </c>
      <c r="D754" s="2">
        <v>60000</v>
      </c>
      <c r="E754">
        <v>0</v>
      </c>
      <c r="F754" t="s">
        <v>19</v>
      </c>
      <c r="G754" t="s">
        <v>21</v>
      </c>
      <c r="H754" t="s">
        <v>15</v>
      </c>
      <c r="I754">
        <v>2</v>
      </c>
      <c r="J754" t="s">
        <v>23</v>
      </c>
      <c r="K754" t="s">
        <v>32</v>
      </c>
      <c r="L754">
        <v>32</v>
      </c>
      <c r="M754" t="str" cm="1">
        <f t="array" ref="M754">_xlfn.IFS(
L754&gt;50,"Old Age",
L754&gt;=31,"Middle Age",
L754&lt;31,"Young Age"
)</f>
        <v>Middle Age</v>
      </c>
      <c r="N754" t="s">
        <v>18</v>
      </c>
      <c r="O754" t="str" cm="1">
        <f t="array" ref="O754">_xlfn.IFS(D754&gt;120000, "High Income", D754&gt;=80000, "Average Income", D754&lt;80000, "Low Income")</f>
        <v>Low Income</v>
      </c>
      <c r="P754">
        <f>IF(Table24[[#This Row],[Purchased Bike]]="Yes",1,0)</f>
        <v>0</v>
      </c>
    </row>
    <row r="755" spans="1:16" hidden="1" x14ac:dyDescent="0.25">
      <c r="A755">
        <v>28087</v>
      </c>
      <c r="B755" t="s">
        <v>35</v>
      </c>
      <c r="C755" t="s">
        <v>33</v>
      </c>
      <c r="D755" s="2">
        <v>40000</v>
      </c>
      <c r="E755">
        <v>0</v>
      </c>
      <c r="F755" t="s">
        <v>19</v>
      </c>
      <c r="G755" t="s">
        <v>14</v>
      </c>
      <c r="H755" t="s">
        <v>18</v>
      </c>
      <c r="I755">
        <v>1</v>
      </c>
      <c r="J755" t="s">
        <v>26</v>
      </c>
      <c r="K755" t="s">
        <v>32</v>
      </c>
      <c r="L755">
        <v>27</v>
      </c>
      <c r="M755" t="str" cm="1">
        <f t="array" ref="M755">_xlfn.IFS(
L755&gt;50,"Old Age",
L755&gt;=31,"Middle Age",
L755&lt;31,"Young Age"
)</f>
        <v>Young Age</v>
      </c>
      <c r="N755" t="s">
        <v>18</v>
      </c>
      <c r="O755" t="str" cm="1">
        <f t="array" ref="O755">_xlfn.IFS(D755&gt;120000, "High Income", D755&gt;=80000, "Average Income", D755&lt;80000, "Low Income")</f>
        <v>Low Income</v>
      </c>
      <c r="P755">
        <f>IF(Table24[[#This Row],[Purchased Bike]]="Yes",1,0)</f>
        <v>0</v>
      </c>
    </row>
    <row r="756" spans="1:16" hidden="1" x14ac:dyDescent="0.25">
      <c r="A756">
        <v>23668</v>
      </c>
      <c r="B756" t="s">
        <v>34</v>
      </c>
      <c r="C756" t="s">
        <v>33</v>
      </c>
      <c r="D756" s="2">
        <v>40000</v>
      </c>
      <c r="E756">
        <v>4</v>
      </c>
      <c r="F756" t="s">
        <v>27</v>
      </c>
      <c r="G756" t="s">
        <v>21</v>
      </c>
      <c r="H756" t="s">
        <v>15</v>
      </c>
      <c r="I756">
        <v>2</v>
      </c>
      <c r="J756" t="s">
        <v>23</v>
      </c>
      <c r="K756" t="s">
        <v>32</v>
      </c>
      <c r="L756">
        <v>59</v>
      </c>
      <c r="M756" t="str" cm="1">
        <f t="array" ref="M756">_xlfn.IFS(
L756&gt;50,"Old Age",
L756&gt;=31,"Middle Age",
L756&lt;31,"Young Age"
)</f>
        <v>Old Age</v>
      </c>
      <c r="N756" t="s">
        <v>15</v>
      </c>
      <c r="O756" t="str" cm="1">
        <f t="array" ref="O756">_xlfn.IFS(D756&gt;120000, "High Income", D756&gt;=80000, "Average Income", D756&lt;80000, "Low Income")</f>
        <v>Low Income</v>
      </c>
      <c r="P756">
        <f>IF(Table24[[#This Row],[Purchased Bike]]="Yes",1,0)</f>
        <v>1</v>
      </c>
    </row>
    <row r="757" spans="1:16" hidden="1" x14ac:dyDescent="0.25">
      <c r="A757">
        <v>27441</v>
      </c>
      <c r="B757" t="s">
        <v>34</v>
      </c>
      <c r="C757" t="s">
        <v>34</v>
      </c>
      <c r="D757" s="2">
        <v>60000</v>
      </c>
      <c r="E757">
        <v>3</v>
      </c>
      <c r="F757" t="s">
        <v>27</v>
      </c>
      <c r="G757" t="s">
        <v>21</v>
      </c>
      <c r="H757" t="s">
        <v>18</v>
      </c>
      <c r="I757">
        <v>2</v>
      </c>
      <c r="J757" t="s">
        <v>22</v>
      </c>
      <c r="K757" t="s">
        <v>32</v>
      </c>
      <c r="L757">
        <v>53</v>
      </c>
      <c r="M757" t="str" cm="1">
        <f t="array" ref="M757">_xlfn.IFS(
L757&gt;50,"Old Age",
L757&gt;=31,"Middle Age",
L757&lt;31,"Young Age"
)</f>
        <v>Old Age</v>
      </c>
      <c r="N757" t="s">
        <v>18</v>
      </c>
      <c r="O757" t="str" cm="1">
        <f t="array" ref="O757">_xlfn.IFS(D757&gt;120000, "High Income", D757&gt;=80000, "Average Income", D757&lt;80000, "Low Income")</f>
        <v>Low Income</v>
      </c>
      <c r="P757">
        <f>IF(Table24[[#This Row],[Purchased Bike]]="Yes",1,0)</f>
        <v>0</v>
      </c>
    </row>
    <row r="758" spans="1:16" x14ac:dyDescent="0.25">
      <c r="A758">
        <v>27261</v>
      </c>
      <c r="B758" t="s">
        <v>34</v>
      </c>
      <c r="C758" t="s">
        <v>34</v>
      </c>
      <c r="D758" s="2">
        <v>40000</v>
      </c>
      <c r="E758">
        <v>1</v>
      </c>
      <c r="F758" t="s">
        <v>13</v>
      </c>
      <c r="G758" t="s">
        <v>14</v>
      </c>
      <c r="H758" t="s">
        <v>18</v>
      </c>
      <c r="I758">
        <v>1</v>
      </c>
      <c r="J758" t="s">
        <v>16</v>
      </c>
      <c r="K758" t="s">
        <v>32</v>
      </c>
      <c r="L758">
        <v>36</v>
      </c>
      <c r="M758" t="str" cm="1">
        <f t="array" ref="M758">_xlfn.IFS(
L758&gt;50,"Old Age",
L758&gt;=31,"Middle Age",
L758&lt;31,"Young Age"
)</f>
        <v>Middle Age</v>
      </c>
      <c r="N758" t="s">
        <v>15</v>
      </c>
      <c r="O758" t="str" cm="1">
        <f t="array" ref="O758">_xlfn.IFS(D758&gt;120000, "High Income", D758&gt;=80000, "Average Income", D758&lt;80000, "Low Income")</f>
        <v>Low Income</v>
      </c>
      <c r="P758">
        <f>IF(Table24[[#This Row],[Purchased Bike]]="Yes",1,0)</f>
        <v>1</v>
      </c>
    </row>
    <row r="759" spans="1:16" hidden="1" x14ac:dyDescent="0.25">
      <c r="A759">
        <v>18649</v>
      </c>
      <c r="B759" t="s">
        <v>35</v>
      </c>
      <c r="C759" t="s">
        <v>34</v>
      </c>
      <c r="D759" s="2">
        <v>30000</v>
      </c>
      <c r="E759">
        <v>1</v>
      </c>
      <c r="F759" t="s">
        <v>27</v>
      </c>
      <c r="G759" t="s">
        <v>20</v>
      </c>
      <c r="H759" t="s">
        <v>15</v>
      </c>
      <c r="I759">
        <v>2</v>
      </c>
      <c r="J759" t="s">
        <v>26</v>
      </c>
      <c r="K759" t="s">
        <v>32</v>
      </c>
      <c r="L759">
        <v>51</v>
      </c>
      <c r="M759" t="str" cm="1">
        <f t="array" ref="M759">_xlfn.IFS(
L759&gt;50,"Old Age",
L759&gt;=31,"Middle Age",
L759&lt;31,"Young Age"
)</f>
        <v>Old Age</v>
      </c>
      <c r="N759" t="s">
        <v>15</v>
      </c>
      <c r="O759" t="str" cm="1">
        <f t="array" ref="O759">_xlfn.IFS(D759&gt;120000, "High Income", D759&gt;=80000, "Average Income", D759&lt;80000, "Low Income")</f>
        <v>Low Income</v>
      </c>
      <c r="P759">
        <f>IF(Table24[[#This Row],[Purchased Bike]]="Yes",1,0)</f>
        <v>1</v>
      </c>
    </row>
    <row r="760" spans="1:16" hidden="1" x14ac:dyDescent="0.25">
      <c r="A760">
        <v>21714</v>
      </c>
      <c r="B760" t="s">
        <v>35</v>
      </c>
      <c r="C760" t="s">
        <v>33</v>
      </c>
      <c r="D760" s="2">
        <v>80000</v>
      </c>
      <c r="E760">
        <v>5</v>
      </c>
      <c r="F760" t="s">
        <v>31</v>
      </c>
      <c r="G760" t="s">
        <v>14</v>
      </c>
      <c r="H760" t="s">
        <v>18</v>
      </c>
      <c r="I760">
        <v>0</v>
      </c>
      <c r="J760" t="s">
        <v>16</v>
      </c>
      <c r="K760" t="s">
        <v>32</v>
      </c>
      <c r="L760">
        <v>47</v>
      </c>
      <c r="M760" t="str" cm="1">
        <f t="array" ref="M760">_xlfn.IFS(
L760&gt;50,"Old Age",
L760&gt;=31,"Middle Age",
L760&lt;31,"Young Age"
)</f>
        <v>Middle Age</v>
      </c>
      <c r="N760" t="s">
        <v>18</v>
      </c>
      <c r="O760" t="str" cm="1">
        <f t="array" ref="O760">_xlfn.IFS(D760&gt;120000, "High Income", D760&gt;=80000, "Average Income", D760&lt;80000, "Low Income")</f>
        <v>Average Income</v>
      </c>
      <c r="P760">
        <f>IF(Table24[[#This Row],[Purchased Bike]]="Yes",1,0)</f>
        <v>0</v>
      </c>
    </row>
    <row r="761" spans="1:16" x14ac:dyDescent="0.25">
      <c r="A761">
        <v>23217</v>
      </c>
      <c r="B761" t="s">
        <v>35</v>
      </c>
      <c r="C761" t="s">
        <v>33</v>
      </c>
      <c r="D761" s="2">
        <v>60000</v>
      </c>
      <c r="E761">
        <v>3</v>
      </c>
      <c r="F761" t="s">
        <v>31</v>
      </c>
      <c r="G761" t="s">
        <v>21</v>
      </c>
      <c r="H761" t="s">
        <v>15</v>
      </c>
      <c r="I761">
        <v>0</v>
      </c>
      <c r="J761" t="s">
        <v>22</v>
      </c>
      <c r="K761" t="s">
        <v>32</v>
      </c>
      <c r="L761">
        <v>43</v>
      </c>
      <c r="M761" t="str" cm="1">
        <f t="array" ref="M761">_xlfn.IFS(
L761&gt;50,"Old Age",
L761&gt;=31,"Middle Age",
L761&lt;31,"Young Age"
)</f>
        <v>Middle Age</v>
      </c>
      <c r="N761" t="s">
        <v>15</v>
      </c>
      <c r="O761" t="str" cm="1">
        <f t="array" ref="O761">_xlfn.IFS(D761&gt;120000, "High Income", D761&gt;=80000, "Average Income", D761&lt;80000, "Low Income")</f>
        <v>Low Income</v>
      </c>
      <c r="P761">
        <f>IF(Table24[[#This Row],[Purchased Bike]]="Yes",1,0)</f>
        <v>1</v>
      </c>
    </row>
    <row r="762" spans="1:16" hidden="1" x14ac:dyDescent="0.25">
      <c r="A762">
        <v>23797</v>
      </c>
      <c r="B762" t="s">
        <v>35</v>
      </c>
      <c r="C762" t="s">
        <v>34</v>
      </c>
      <c r="D762" s="2">
        <v>20000</v>
      </c>
      <c r="E762">
        <v>3</v>
      </c>
      <c r="F762" t="s">
        <v>29</v>
      </c>
      <c r="G762" t="s">
        <v>20</v>
      </c>
      <c r="H762" t="s">
        <v>18</v>
      </c>
      <c r="I762">
        <v>2</v>
      </c>
      <c r="J762" t="s">
        <v>16</v>
      </c>
      <c r="K762" t="s">
        <v>32</v>
      </c>
      <c r="L762">
        <v>50</v>
      </c>
      <c r="M762" t="str" cm="1">
        <f t="array" ref="M762">_xlfn.IFS(
L762&gt;50,"Old Age",
L762&gt;=31,"Middle Age",
L762&lt;31,"Young Age"
)</f>
        <v>Middle Age</v>
      </c>
      <c r="N762" t="s">
        <v>18</v>
      </c>
      <c r="O762" t="str" cm="1">
        <f t="array" ref="O762">_xlfn.IFS(D762&gt;120000, "High Income", D762&gt;=80000, "Average Income", D762&lt;80000, "Low Income")</f>
        <v>Low Income</v>
      </c>
      <c r="P762">
        <f>IF(Table24[[#This Row],[Purchased Bike]]="Yes",1,0)</f>
        <v>0</v>
      </c>
    </row>
    <row r="763" spans="1:16" hidden="1" x14ac:dyDescent="0.25">
      <c r="A763">
        <v>13216</v>
      </c>
      <c r="B763" t="s">
        <v>34</v>
      </c>
      <c r="C763" t="s">
        <v>33</v>
      </c>
      <c r="D763" s="2">
        <v>60000</v>
      </c>
      <c r="E763">
        <v>5</v>
      </c>
      <c r="F763" t="s">
        <v>13</v>
      </c>
      <c r="G763" t="s">
        <v>28</v>
      </c>
      <c r="H763" t="s">
        <v>15</v>
      </c>
      <c r="I763">
        <v>3</v>
      </c>
      <c r="J763" t="s">
        <v>30</v>
      </c>
      <c r="K763" t="s">
        <v>32</v>
      </c>
      <c r="L763">
        <v>59</v>
      </c>
      <c r="M763" t="str" cm="1">
        <f t="array" ref="M763">_xlfn.IFS(
L763&gt;50,"Old Age",
L763&gt;=31,"Middle Age",
L763&lt;31,"Young Age"
)</f>
        <v>Old Age</v>
      </c>
      <c r="N763" t="s">
        <v>18</v>
      </c>
      <c r="O763" t="str" cm="1">
        <f t="array" ref="O763">_xlfn.IFS(D763&gt;120000, "High Income", D763&gt;=80000, "Average Income", D763&lt;80000, "Low Income")</f>
        <v>Low Income</v>
      </c>
      <c r="P763">
        <f>IF(Table24[[#This Row],[Purchased Bike]]="Yes",1,0)</f>
        <v>0</v>
      </c>
    </row>
    <row r="764" spans="1:16" x14ac:dyDescent="0.25">
      <c r="A764">
        <v>20657</v>
      </c>
      <c r="B764" t="s">
        <v>35</v>
      </c>
      <c r="C764" t="s">
        <v>34</v>
      </c>
      <c r="D764" s="2">
        <v>50000</v>
      </c>
      <c r="E764">
        <v>2</v>
      </c>
      <c r="F764" t="s">
        <v>13</v>
      </c>
      <c r="G764" t="s">
        <v>14</v>
      </c>
      <c r="H764" t="s">
        <v>15</v>
      </c>
      <c r="I764">
        <v>0</v>
      </c>
      <c r="J764" t="s">
        <v>22</v>
      </c>
      <c r="K764" t="s">
        <v>32</v>
      </c>
      <c r="L764">
        <v>37</v>
      </c>
      <c r="M764" t="str" cm="1">
        <f t="array" ref="M764">_xlfn.IFS(
L764&gt;50,"Old Age",
L764&gt;=31,"Middle Age",
L764&lt;31,"Young Age"
)</f>
        <v>Middle Age</v>
      </c>
      <c r="N764" t="s">
        <v>15</v>
      </c>
      <c r="O764" t="str" cm="1">
        <f t="array" ref="O764">_xlfn.IFS(D764&gt;120000, "High Income", D764&gt;=80000, "Average Income", D764&lt;80000, "Low Income")</f>
        <v>Low Income</v>
      </c>
      <c r="P764">
        <f>IF(Table24[[#This Row],[Purchased Bike]]="Yes",1,0)</f>
        <v>1</v>
      </c>
    </row>
    <row r="765" spans="1:16" x14ac:dyDescent="0.25">
      <c r="A765">
        <v>12882</v>
      </c>
      <c r="B765" t="s">
        <v>34</v>
      </c>
      <c r="C765" t="s">
        <v>34</v>
      </c>
      <c r="D765" s="2">
        <v>50000</v>
      </c>
      <c r="E765">
        <v>1</v>
      </c>
      <c r="F765" t="s">
        <v>31</v>
      </c>
      <c r="G765" t="s">
        <v>14</v>
      </c>
      <c r="H765" t="s">
        <v>15</v>
      </c>
      <c r="I765">
        <v>0</v>
      </c>
      <c r="J765" t="s">
        <v>16</v>
      </c>
      <c r="K765" t="s">
        <v>32</v>
      </c>
      <c r="L765">
        <v>33</v>
      </c>
      <c r="M765" t="str" cm="1">
        <f t="array" ref="M765">_xlfn.IFS(
L765&gt;50,"Old Age",
L765&gt;=31,"Middle Age",
L765&lt;31,"Young Age"
)</f>
        <v>Middle Age</v>
      </c>
      <c r="N765" t="s">
        <v>15</v>
      </c>
      <c r="O765" t="str" cm="1">
        <f t="array" ref="O765">_xlfn.IFS(D765&gt;120000, "High Income", D765&gt;=80000, "Average Income", D765&lt;80000, "Low Income")</f>
        <v>Low Income</v>
      </c>
      <c r="P765">
        <f>IF(Table24[[#This Row],[Purchased Bike]]="Yes",1,0)</f>
        <v>1</v>
      </c>
    </row>
    <row r="766" spans="1:16" hidden="1" x14ac:dyDescent="0.25">
      <c r="A766">
        <v>25908</v>
      </c>
      <c r="B766" t="s">
        <v>34</v>
      </c>
      <c r="C766" t="s">
        <v>33</v>
      </c>
      <c r="D766" s="2">
        <v>60000</v>
      </c>
      <c r="E766">
        <v>0</v>
      </c>
      <c r="F766" t="s">
        <v>19</v>
      </c>
      <c r="G766" t="s">
        <v>14</v>
      </c>
      <c r="H766" t="s">
        <v>18</v>
      </c>
      <c r="I766">
        <v>1</v>
      </c>
      <c r="J766" t="s">
        <v>26</v>
      </c>
      <c r="K766" t="s">
        <v>32</v>
      </c>
      <c r="L766">
        <v>27</v>
      </c>
      <c r="M766" t="str" cm="1">
        <f t="array" ref="M766">_xlfn.IFS(
L766&gt;50,"Old Age",
L766&gt;=31,"Middle Age",
L766&lt;31,"Young Age"
)</f>
        <v>Young Age</v>
      </c>
      <c r="N766" t="s">
        <v>18</v>
      </c>
      <c r="O766" t="str" cm="1">
        <f t="array" ref="O766">_xlfn.IFS(D766&gt;120000, "High Income", D766&gt;=80000, "Average Income", D766&lt;80000, "Low Income")</f>
        <v>Low Income</v>
      </c>
      <c r="P766">
        <f>IF(Table24[[#This Row],[Purchased Bike]]="Yes",1,0)</f>
        <v>0</v>
      </c>
    </row>
    <row r="767" spans="1:16" x14ac:dyDescent="0.25">
      <c r="A767">
        <v>16753</v>
      </c>
      <c r="B767" t="s">
        <v>35</v>
      </c>
      <c r="C767" t="s">
        <v>33</v>
      </c>
      <c r="D767" s="2">
        <v>70000</v>
      </c>
      <c r="E767">
        <v>0</v>
      </c>
      <c r="F767" t="s">
        <v>19</v>
      </c>
      <c r="G767" t="s">
        <v>14</v>
      </c>
      <c r="H767" t="s">
        <v>15</v>
      </c>
      <c r="I767">
        <v>2</v>
      </c>
      <c r="J767" t="s">
        <v>23</v>
      </c>
      <c r="K767" t="s">
        <v>32</v>
      </c>
      <c r="L767">
        <v>34</v>
      </c>
      <c r="M767" t="str" cm="1">
        <f t="array" ref="M767">_xlfn.IFS(
L767&gt;50,"Old Age",
L767&gt;=31,"Middle Age",
L767&lt;31,"Young Age"
)</f>
        <v>Middle Age</v>
      </c>
      <c r="N767" t="s">
        <v>15</v>
      </c>
      <c r="O767" t="str" cm="1">
        <f t="array" ref="O767">_xlfn.IFS(D767&gt;120000, "High Income", D767&gt;=80000, "Average Income", D767&lt;80000, "Low Income")</f>
        <v>Low Income</v>
      </c>
      <c r="P767">
        <f>IF(Table24[[#This Row],[Purchased Bike]]="Yes",1,0)</f>
        <v>1</v>
      </c>
    </row>
    <row r="768" spans="1:16" hidden="1" x14ac:dyDescent="0.25">
      <c r="A768">
        <v>14608</v>
      </c>
      <c r="B768" t="s">
        <v>34</v>
      </c>
      <c r="C768" t="s">
        <v>34</v>
      </c>
      <c r="D768" s="2">
        <v>50000</v>
      </c>
      <c r="E768">
        <v>4</v>
      </c>
      <c r="F768" t="s">
        <v>13</v>
      </c>
      <c r="G768" t="s">
        <v>14</v>
      </c>
      <c r="H768" t="s">
        <v>15</v>
      </c>
      <c r="I768">
        <v>3</v>
      </c>
      <c r="J768" t="s">
        <v>30</v>
      </c>
      <c r="K768" t="s">
        <v>32</v>
      </c>
      <c r="L768">
        <v>42</v>
      </c>
      <c r="M768" t="str" cm="1">
        <f t="array" ref="M768">_xlfn.IFS(
L768&gt;50,"Old Age",
L768&gt;=31,"Middle Age",
L768&lt;31,"Young Age"
)</f>
        <v>Middle Age</v>
      </c>
      <c r="N768" t="s">
        <v>18</v>
      </c>
      <c r="O768" t="str" cm="1">
        <f t="array" ref="O768">_xlfn.IFS(D768&gt;120000, "High Income", D768&gt;=80000, "Average Income", D768&lt;80000, "Low Income")</f>
        <v>Low Income</v>
      </c>
      <c r="P768">
        <f>IF(Table24[[#This Row],[Purchased Bike]]="Yes",1,0)</f>
        <v>0</v>
      </c>
    </row>
    <row r="769" spans="1:16" hidden="1" x14ac:dyDescent="0.25">
      <c r="A769">
        <v>24979</v>
      </c>
      <c r="B769" t="s">
        <v>34</v>
      </c>
      <c r="C769" t="s">
        <v>33</v>
      </c>
      <c r="D769" s="2">
        <v>60000</v>
      </c>
      <c r="E769">
        <v>2</v>
      </c>
      <c r="F769" t="s">
        <v>19</v>
      </c>
      <c r="G769" t="s">
        <v>21</v>
      </c>
      <c r="H769" t="s">
        <v>15</v>
      </c>
      <c r="I769">
        <v>2</v>
      </c>
      <c r="J769" t="s">
        <v>22</v>
      </c>
      <c r="K769" t="s">
        <v>32</v>
      </c>
      <c r="L769">
        <v>57</v>
      </c>
      <c r="M769" t="str" cm="1">
        <f t="array" ref="M769">_xlfn.IFS(
L769&gt;50,"Old Age",
L769&gt;=31,"Middle Age",
L769&lt;31,"Young Age"
)</f>
        <v>Old Age</v>
      </c>
      <c r="N769" t="s">
        <v>15</v>
      </c>
      <c r="O769" t="str" cm="1">
        <f t="array" ref="O769">_xlfn.IFS(D769&gt;120000, "High Income", D769&gt;=80000, "Average Income", D769&lt;80000, "Low Income")</f>
        <v>Low Income</v>
      </c>
      <c r="P769">
        <f>IF(Table24[[#This Row],[Purchased Bike]]="Yes",1,0)</f>
        <v>1</v>
      </c>
    </row>
    <row r="770" spans="1:16" hidden="1" x14ac:dyDescent="0.25">
      <c r="A770">
        <v>13313</v>
      </c>
      <c r="B770" t="s">
        <v>34</v>
      </c>
      <c r="C770" t="s">
        <v>33</v>
      </c>
      <c r="D770" s="2">
        <v>120000</v>
      </c>
      <c r="E770">
        <v>1</v>
      </c>
      <c r="F770" t="s">
        <v>27</v>
      </c>
      <c r="G770" t="s">
        <v>21</v>
      </c>
      <c r="H770" t="s">
        <v>18</v>
      </c>
      <c r="I770">
        <v>4</v>
      </c>
      <c r="J770" t="s">
        <v>22</v>
      </c>
      <c r="K770" t="s">
        <v>32</v>
      </c>
      <c r="L770">
        <v>45</v>
      </c>
      <c r="M770" t="str" cm="1">
        <f t="array" ref="M770">_xlfn.IFS(
L770&gt;50,"Old Age",
L770&gt;=31,"Middle Age",
L770&lt;31,"Young Age"
)</f>
        <v>Middle Age</v>
      </c>
      <c r="N770" t="s">
        <v>18</v>
      </c>
      <c r="O770" t="str" cm="1">
        <f t="array" ref="O770">_xlfn.IFS(D770&gt;120000, "High Income", D770&gt;=80000, "Average Income", D770&lt;80000, "Low Income")</f>
        <v>Average Income</v>
      </c>
      <c r="P770">
        <f>IF(Table24[[#This Row],[Purchased Bike]]="Yes",1,0)</f>
        <v>0</v>
      </c>
    </row>
    <row r="771" spans="1:16" hidden="1" x14ac:dyDescent="0.25">
      <c r="A771">
        <v>18952</v>
      </c>
      <c r="B771" t="s">
        <v>34</v>
      </c>
      <c r="C771" t="s">
        <v>33</v>
      </c>
      <c r="D771" s="2">
        <v>100000</v>
      </c>
      <c r="E771">
        <v>4</v>
      </c>
      <c r="F771" t="s">
        <v>13</v>
      </c>
      <c r="G771" t="s">
        <v>28</v>
      </c>
      <c r="H771" t="s">
        <v>15</v>
      </c>
      <c r="I771">
        <v>4</v>
      </c>
      <c r="J771" t="s">
        <v>16</v>
      </c>
      <c r="K771" t="s">
        <v>32</v>
      </c>
      <c r="L771">
        <v>40</v>
      </c>
      <c r="M771" t="str" cm="1">
        <f t="array" ref="M771">_xlfn.IFS(
L771&gt;50,"Old Age",
L771&gt;=31,"Middle Age",
L771&lt;31,"Young Age"
)</f>
        <v>Middle Age</v>
      </c>
      <c r="N771" t="s">
        <v>18</v>
      </c>
      <c r="O771" t="str" cm="1">
        <f t="array" ref="O771">_xlfn.IFS(D771&gt;120000, "High Income", D771&gt;=80000, "Average Income", D771&lt;80000, "Low Income")</f>
        <v>Average Income</v>
      </c>
      <c r="P771">
        <f>IF(Table24[[#This Row],[Purchased Bike]]="Yes",1,0)</f>
        <v>0</v>
      </c>
    </row>
    <row r="772" spans="1:16" hidden="1" x14ac:dyDescent="0.25">
      <c r="A772">
        <v>17699</v>
      </c>
      <c r="B772" t="s">
        <v>34</v>
      </c>
      <c r="C772" t="s">
        <v>34</v>
      </c>
      <c r="D772" s="2">
        <v>60000</v>
      </c>
      <c r="E772">
        <v>1</v>
      </c>
      <c r="F772" t="s">
        <v>31</v>
      </c>
      <c r="G772" t="s">
        <v>14</v>
      </c>
      <c r="H772" t="s">
        <v>18</v>
      </c>
      <c r="I772">
        <v>0</v>
      </c>
      <c r="J772" t="s">
        <v>16</v>
      </c>
      <c r="K772" t="s">
        <v>32</v>
      </c>
      <c r="L772">
        <v>55</v>
      </c>
      <c r="M772" t="str" cm="1">
        <f t="array" ref="M772">_xlfn.IFS(
L772&gt;50,"Old Age",
L772&gt;=31,"Middle Age",
L772&lt;31,"Young Age"
)</f>
        <v>Old Age</v>
      </c>
      <c r="N772" t="s">
        <v>18</v>
      </c>
      <c r="O772" t="str" cm="1">
        <f t="array" ref="O772">_xlfn.IFS(D772&gt;120000, "High Income", D772&gt;=80000, "Average Income", D772&lt;80000, "Low Income")</f>
        <v>Low Income</v>
      </c>
      <c r="P772">
        <f>IF(Table24[[#This Row],[Purchased Bike]]="Yes",1,0)</f>
        <v>0</v>
      </c>
    </row>
    <row r="773" spans="1:16" x14ac:dyDescent="0.25">
      <c r="A773">
        <v>14657</v>
      </c>
      <c r="B773" t="s">
        <v>34</v>
      </c>
      <c r="C773" t="s">
        <v>34</v>
      </c>
      <c r="D773" s="2">
        <v>80000</v>
      </c>
      <c r="E773">
        <v>1</v>
      </c>
      <c r="F773" t="s">
        <v>19</v>
      </c>
      <c r="G773" t="s">
        <v>14</v>
      </c>
      <c r="H773" t="s">
        <v>18</v>
      </c>
      <c r="I773">
        <v>1</v>
      </c>
      <c r="J773" t="s">
        <v>16</v>
      </c>
      <c r="K773" t="s">
        <v>32</v>
      </c>
      <c r="L773">
        <v>47</v>
      </c>
      <c r="M773" t="str" cm="1">
        <f t="array" ref="M773">_xlfn.IFS(
L773&gt;50,"Old Age",
L773&gt;=31,"Middle Age",
L773&lt;31,"Young Age"
)</f>
        <v>Middle Age</v>
      </c>
      <c r="N773" t="s">
        <v>15</v>
      </c>
      <c r="O773" t="str" cm="1">
        <f t="array" ref="O773">_xlfn.IFS(D773&gt;120000, "High Income", D773&gt;=80000, "Average Income", D773&lt;80000, "Low Income")</f>
        <v>Average Income</v>
      </c>
      <c r="P773">
        <f>IF(Table24[[#This Row],[Purchased Bike]]="Yes",1,0)</f>
        <v>1</v>
      </c>
    </row>
    <row r="774" spans="1:16" x14ac:dyDescent="0.25">
      <c r="A774">
        <v>11540</v>
      </c>
      <c r="B774" t="s">
        <v>35</v>
      </c>
      <c r="C774" t="s">
        <v>34</v>
      </c>
      <c r="D774" s="2">
        <v>60000</v>
      </c>
      <c r="E774">
        <v>4</v>
      </c>
      <c r="F774" t="s">
        <v>31</v>
      </c>
      <c r="G774" t="s">
        <v>14</v>
      </c>
      <c r="H774" t="s">
        <v>15</v>
      </c>
      <c r="I774">
        <v>0</v>
      </c>
      <c r="J774" t="s">
        <v>26</v>
      </c>
      <c r="K774" t="s">
        <v>32</v>
      </c>
      <c r="L774">
        <v>47</v>
      </c>
      <c r="M774" t="str" cm="1">
        <f t="array" ref="M774">_xlfn.IFS(
L774&gt;50,"Old Age",
L774&gt;=31,"Middle Age",
L774&lt;31,"Young Age"
)</f>
        <v>Middle Age</v>
      </c>
      <c r="N774" t="s">
        <v>15</v>
      </c>
      <c r="O774" t="str" cm="1">
        <f t="array" ref="O774">_xlfn.IFS(D774&gt;120000, "High Income", D774&gt;=80000, "Average Income", D774&lt;80000, "Low Income")</f>
        <v>Low Income</v>
      </c>
      <c r="P774">
        <f>IF(Table24[[#This Row],[Purchased Bike]]="Yes",1,0)</f>
        <v>1</v>
      </c>
    </row>
    <row r="775" spans="1:16" hidden="1" x14ac:dyDescent="0.25">
      <c r="A775">
        <v>11783</v>
      </c>
      <c r="B775" t="s">
        <v>34</v>
      </c>
      <c r="C775" t="s">
        <v>33</v>
      </c>
      <c r="D775" s="2">
        <v>60000</v>
      </c>
      <c r="E775">
        <v>1</v>
      </c>
      <c r="F775" t="s">
        <v>31</v>
      </c>
      <c r="G775" t="s">
        <v>14</v>
      </c>
      <c r="H775" t="s">
        <v>15</v>
      </c>
      <c r="I775">
        <v>0</v>
      </c>
      <c r="J775" t="s">
        <v>16</v>
      </c>
      <c r="K775" t="s">
        <v>32</v>
      </c>
      <c r="L775">
        <v>34</v>
      </c>
      <c r="M775" t="str" cm="1">
        <f t="array" ref="M775">_xlfn.IFS(
L775&gt;50,"Old Age",
L775&gt;=31,"Middle Age",
L775&lt;31,"Young Age"
)</f>
        <v>Middle Age</v>
      </c>
      <c r="N775" t="s">
        <v>18</v>
      </c>
      <c r="O775" t="str" cm="1">
        <f t="array" ref="O775">_xlfn.IFS(D775&gt;120000, "High Income", D775&gt;=80000, "Average Income", D775&lt;80000, "Low Income")</f>
        <v>Low Income</v>
      </c>
      <c r="P775">
        <f>IF(Table24[[#This Row],[Purchased Bike]]="Yes",1,0)</f>
        <v>0</v>
      </c>
    </row>
    <row r="776" spans="1:16" x14ac:dyDescent="0.25">
      <c r="A776">
        <v>14602</v>
      </c>
      <c r="B776" t="s">
        <v>34</v>
      </c>
      <c r="C776" t="s">
        <v>33</v>
      </c>
      <c r="D776" s="2">
        <v>80000</v>
      </c>
      <c r="E776">
        <v>3</v>
      </c>
      <c r="F776" t="s">
        <v>31</v>
      </c>
      <c r="G776" t="s">
        <v>21</v>
      </c>
      <c r="H776" t="s">
        <v>15</v>
      </c>
      <c r="I776">
        <v>0</v>
      </c>
      <c r="J776" t="s">
        <v>16</v>
      </c>
      <c r="K776" t="s">
        <v>32</v>
      </c>
      <c r="L776">
        <v>36</v>
      </c>
      <c r="M776" t="str" cm="1">
        <f t="array" ref="M776">_xlfn.IFS(
L776&gt;50,"Old Age",
L776&gt;=31,"Middle Age",
L776&lt;31,"Young Age"
)</f>
        <v>Middle Age</v>
      </c>
      <c r="N776" t="s">
        <v>15</v>
      </c>
      <c r="O776" t="str" cm="1">
        <f t="array" ref="O776">_xlfn.IFS(D776&gt;120000, "High Income", D776&gt;=80000, "Average Income", D776&lt;80000, "Low Income")</f>
        <v>Average Income</v>
      </c>
      <c r="P776">
        <f>IF(Table24[[#This Row],[Purchased Bike]]="Yes",1,0)</f>
        <v>1</v>
      </c>
    </row>
    <row r="777" spans="1:16" hidden="1" x14ac:dyDescent="0.25">
      <c r="A777">
        <v>29030</v>
      </c>
      <c r="B777" t="s">
        <v>34</v>
      </c>
      <c r="C777" t="s">
        <v>34</v>
      </c>
      <c r="D777" s="2">
        <v>70000</v>
      </c>
      <c r="E777">
        <v>2</v>
      </c>
      <c r="F777" t="s">
        <v>29</v>
      </c>
      <c r="G777" t="s">
        <v>14</v>
      </c>
      <c r="H777" t="s">
        <v>15</v>
      </c>
      <c r="I777">
        <v>2</v>
      </c>
      <c r="J777" t="s">
        <v>30</v>
      </c>
      <c r="K777" t="s">
        <v>32</v>
      </c>
      <c r="L777">
        <v>54</v>
      </c>
      <c r="M777" t="str" cm="1">
        <f t="array" ref="M777">_xlfn.IFS(
L777&gt;50,"Old Age",
L777&gt;=31,"Middle Age",
L777&lt;31,"Young Age"
)</f>
        <v>Old Age</v>
      </c>
      <c r="N777" t="s">
        <v>18</v>
      </c>
      <c r="O777" t="str" cm="1">
        <f t="array" ref="O777">_xlfn.IFS(D777&gt;120000, "High Income", D777&gt;=80000, "Average Income", D777&lt;80000, "Low Income")</f>
        <v>Low Income</v>
      </c>
      <c r="P777">
        <f>IF(Table24[[#This Row],[Purchased Bike]]="Yes",1,0)</f>
        <v>0</v>
      </c>
    </row>
    <row r="778" spans="1:16" hidden="1" x14ac:dyDescent="0.25">
      <c r="A778">
        <v>26490</v>
      </c>
      <c r="B778" t="s">
        <v>35</v>
      </c>
      <c r="C778" t="s">
        <v>34</v>
      </c>
      <c r="D778" s="2">
        <v>70000</v>
      </c>
      <c r="E778">
        <v>2</v>
      </c>
      <c r="F778" t="s">
        <v>13</v>
      </c>
      <c r="G778" t="s">
        <v>28</v>
      </c>
      <c r="H778" t="s">
        <v>18</v>
      </c>
      <c r="I778">
        <v>1</v>
      </c>
      <c r="J778" t="s">
        <v>22</v>
      </c>
      <c r="K778" t="s">
        <v>32</v>
      </c>
      <c r="L778">
        <v>59</v>
      </c>
      <c r="M778" t="str" cm="1">
        <f t="array" ref="M778">_xlfn.IFS(
L778&gt;50,"Old Age",
L778&gt;=31,"Middle Age",
L778&lt;31,"Young Age"
)</f>
        <v>Old Age</v>
      </c>
      <c r="N778" t="s">
        <v>15</v>
      </c>
      <c r="O778" t="str" cm="1">
        <f t="array" ref="O778">_xlfn.IFS(D778&gt;120000, "High Income", D778&gt;=80000, "Average Income", D778&lt;80000, "Low Income")</f>
        <v>Low Income</v>
      </c>
      <c r="P778">
        <f>IF(Table24[[#This Row],[Purchased Bike]]="Yes",1,0)</f>
        <v>1</v>
      </c>
    </row>
    <row r="779" spans="1:16" hidden="1" x14ac:dyDescent="0.25">
      <c r="A779">
        <v>13151</v>
      </c>
      <c r="B779" t="s">
        <v>35</v>
      </c>
      <c r="C779" t="s">
        <v>34</v>
      </c>
      <c r="D779" s="2">
        <v>40000</v>
      </c>
      <c r="E779">
        <v>0</v>
      </c>
      <c r="F779" t="s">
        <v>27</v>
      </c>
      <c r="G779" t="s">
        <v>14</v>
      </c>
      <c r="H779" t="s">
        <v>15</v>
      </c>
      <c r="I779">
        <v>2</v>
      </c>
      <c r="J779" t="s">
        <v>23</v>
      </c>
      <c r="K779" t="s">
        <v>32</v>
      </c>
      <c r="L779">
        <v>27</v>
      </c>
      <c r="M779" t="str" cm="1">
        <f t="array" ref="M779">_xlfn.IFS(
L779&gt;50,"Old Age",
L779&gt;=31,"Middle Age",
L779&lt;31,"Young Age"
)</f>
        <v>Young Age</v>
      </c>
      <c r="N779" t="s">
        <v>18</v>
      </c>
      <c r="O779" t="str" cm="1">
        <f t="array" ref="O779">_xlfn.IFS(D779&gt;120000, "High Income", D779&gt;=80000, "Average Income", D779&lt;80000, "Low Income")</f>
        <v>Low Income</v>
      </c>
      <c r="P779">
        <f>IF(Table24[[#This Row],[Purchased Bike]]="Yes",1,0)</f>
        <v>0</v>
      </c>
    </row>
    <row r="780" spans="1:16" hidden="1" x14ac:dyDescent="0.25">
      <c r="A780">
        <v>17260</v>
      </c>
      <c r="B780" t="s">
        <v>34</v>
      </c>
      <c r="C780" t="s">
        <v>34</v>
      </c>
      <c r="D780" s="2">
        <v>90000</v>
      </c>
      <c r="E780">
        <v>5</v>
      </c>
      <c r="F780" t="s">
        <v>19</v>
      </c>
      <c r="G780" t="s">
        <v>21</v>
      </c>
      <c r="H780" t="s">
        <v>15</v>
      </c>
      <c r="I780">
        <v>3</v>
      </c>
      <c r="J780" t="s">
        <v>16</v>
      </c>
      <c r="K780" t="s">
        <v>32</v>
      </c>
      <c r="L780">
        <v>41</v>
      </c>
      <c r="M780" t="str" cm="1">
        <f t="array" ref="M780">_xlfn.IFS(
L780&gt;50,"Old Age",
L780&gt;=31,"Middle Age",
L780&lt;31,"Young Age"
)</f>
        <v>Middle Age</v>
      </c>
      <c r="N780" t="s">
        <v>18</v>
      </c>
      <c r="O780" t="str" cm="1">
        <f t="array" ref="O780">_xlfn.IFS(D780&gt;120000, "High Income", D780&gt;=80000, "Average Income", D780&lt;80000, "Low Income")</f>
        <v>Average Income</v>
      </c>
      <c r="P780">
        <f>IF(Table24[[#This Row],[Purchased Bike]]="Yes",1,0)</f>
        <v>0</v>
      </c>
    </row>
    <row r="781" spans="1:16" x14ac:dyDescent="0.25">
      <c r="A781">
        <v>15372</v>
      </c>
      <c r="B781" t="s">
        <v>34</v>
      </c>
      <c r="C781" t="s">
        <v>34</v>
      </c>
      <c r="D781" s="2">
        <v>80000</v>
      </c>
      <c r="E781">
        <v>3</v>
      </c>
      <c r="F781" t="s">
        <v>19</v>
      </c>
      <c r="G781" t="s">
        <v>21</v>
      </c>
      <c r="H781" t="s">
        <v>18</v>
      </c>
      <c r="I781">
        <v>2</v>
      </c>
      <c r="J781" t="s">
        <v>22</v>
      </c>
      <c r="K781" t="s">
        <v>32</v>
      </c>
      <c r="L781">
        <v>50</v>
      </c>
      <c r="M781" t="str" cm="1">
        <f t="array" ref="M781">_xlfn.IFS(
L781&gt;50,"Old Age",
L781&gt;=31,"Middle Age",
L781&lt;31,"Young Age"
)</f>
        <v>Middle Age</v>
      </c>
      <c r="N781" t="s">
        <v>15</v>
      </c>
      <c r="O781" t="str" cm="1">
        <f t="array" ref="O781">_xlfn.IFS(D781&gt;120000, "High Income", D781&gt;=80000, "Average Income", D781&lt;80000, "Low Income")</f>
        <v>Average Income</v>
      </c>
      <c r="P781">
        <f>IF(Table24[[#This Row],[Purchased Bike]]="Yes",1,0)</f>
        <v>1</v>
      </c>
    </row>
    <row r="782" spans="1:16" hidden="1" x14ac:dyDescent="0.25">
      <c r="A782">
        <v>18105</v>
      </c>
      <c r="B782" t="s">
        <v>34</v>
      </c>
      <c r="C782" t="s">
        <v>33</v>
      </c>
      <c r="D782" s="2">
        <v>60000</v>
      </c>
      <c r="E782">
        <v>2</v>
      </c>
      <c r="F782" t="s">
        <v>19</v>
      </c>
      <c r="G782" t="s">
        <v>21</v>
      </c>
      <c r="H782" t="s">
        <v>15</v>
      </c>
      <c r="I782">
        <v>1</v>
      </c>
      <c r="J782" t="s">
        <v>30</v>
      </c>
      <c r="K782" t="s">
        <v>32</v>
      </c>
      <c r="L782">
        <v>55</v>
      </c>
      <c r="M782" t="str" cm="1">
        <f t="array" ref="M782">_xlfn.IFS(
L782&gt;50,"Old Age",
L782&gt;=31,"Middle Age",
L782&lt;31,"Young Age"
)</f>
        <v>Old Age</v>
      </c>
      <c r="N782" t="s">
        <v>18</v>
      </c>
      <c r="O782" t="str" cm="1">
        <f t="array" ref="O782">_xlfn.IFS(D782&gt;120000, "High Income", D782&gt;=80000, "Average Income", D782&lt;80000, "Low Income")</f>
        <v>Low Income</v>
      </c>
      <c r="P782">
        <f>IF(Table24[[#This Row],[Purchased Bike]]="Yes",1,0)</f>
        <v>0</v>
      </c>
    </row>
    <row r="783" spans="1:16" hidden="1" x14ac:dyDescent="0.25">
      <c r="A783">
        <v>19660</v>
      </c>
      <c r="B783" t="s">
        <v>34</v>
      </c>
      <c r="C783" t="s">
        <v>34</v>
      </c>
      <c r="D783" s="2">
        <v>80000</v>
      </c>
      <c r="E783">
        <v>4</v>
      </c>
      <c r="F783" t="s">
        <v>13</v>
      </c>
      <c r="G783" t="s">
        <v>28</v>
      </c>
      <c r="H783" t="s">
        <v>15</v>
      </c>
      <c r="I783">
        <v>0</v>
      </c>
      <c r="J783" t="s">
        <v>16</v>
      </c>
      <c r="K783" t="s">
        <v>32</v>
      </c>
      <c r="L783">
        <v>43</v>
      </c>
      <c r="M783" t="str" cm="1">
        <f t="array" ref="M783">_xlfn.IFS(
L783&gt;50,"Old Age",
L783&gt;=31,"Middle Age",
L783&lt;31,"Young Age"
)</f>
        <v>Middle Age</v>
      </c>
      <c r="N783" t="s">
        <v>18</v>
      </c>
      <c r="O783" t="str" cm="1">
        <f t="array" ref="O783">_xlfn.IFS(D783&gt;120000, "High Income", D783&gt;=80000, "Average Income", D783&lt;80000, "Low Income")</f>
        <v>Average Income</v>
      </c>
      <c r="P783">
        <f>IF(Table24[[#This Row],[Purchased Bike]]="Yes",1,0)</f>
        <v>0</v>
      </c>
    </row>
    <row r="784" spans="1:16" x14ac:dyDescent="0.25">
      <c r="A784">
        <v>16112</v>
      </c>
      <c r="B784" t="s">
        <v>35</v>
      </c>
      <c r="C784" t="s">
        <v>34</v>
      </c>
      <c r="D784" s="2">
        <v>70000</v>
      </c>
      <c r="E784">
        <v>4</v>
      </c>
      <c r="F784" t="s">
        <v>13</v>
      </c>
      <c r="G784" t="s">
        <v>21</v>
      </c>
      <c r="H784" t="s">
        <v>15</v>
      </c>
      <c r="I784">
        <v>2</v>
      </c>
      <c r="J784" t="s">
        <v>22</v>
      </c>
      <c r="K784" t="s">
        <v>32</v>
      </c>
      <c r="L784">
        <v>43</v>
      </c>
      <c r="M784" t="str" cm="1">
        <f t="array" ref="M784">_xlfn.IFS(
L784&gt;50,"Old Age",
L784&gt;=31,"Middle Age",
L784&lt;31,"Young Age"
)</f>
        <v>Middle Age</v>
      </c>
      <c r="N784" t="s">
        <v>15</v>
      </c>
      <c r="O784" t="str" cm="1">
        <f t="array" ref="O784">_xlfn.IFS(D784&gt;120000, "High Income", D784&gt;=80000, "Average Income", D784&lt;80000, "Low Income")</f>
        <v>Low Income</v>
      </c>
      <c r="P784">
        <f>IF(Table24[[#This Row],[Purchased Bike]]="Yes",1,0)</f>
        <v>1</v>
      </c>
    </row>
    <row r="785" spans="1:16" hidden="1" x14ac:dyDescent="0.25">
      <c r="A785">
        <v>20698</v>
      </c>
      <c r="B785" t="s">
        <v>34</v>
      </c>
      <c r="C785" t="s">
        <v>34</v>
      </c>
      <c r="D785" s="2">
        <v>60000</v>
      </c>
      <c r="E785">
        <v>4</v>
      </c>
      <c r="F785" t="s">
        <v>13</v>
      </c>
      <c r="G785" t="s">
        <v>14</v>
      </c>
      <c r="H785" t="s">
        <v>15</v>
      </c>
      <c r="I785">
        <v>3</v>
      </c>
      <c r="J785" t="s">
        <v>23</v>
      </c>
      <c r="K785" t="s">
        <v>32</v>
      </c>
      <c r="L785">
        <v>42</v>
      </c>
      <c r="M785" t="str" cm="1">
        <f t="array" ref="M785">_xlfn.IFS(
L785&gt;50,"Old Age",
L785&gt;=31,"Middle Age",
L785&lt;31,"Young Age"
)</f>
        <v>Middle Age</v>
      </c>
      <c r="N785" t="s">
        <v>18</v>
      </c>
      <c r="O785" t="str" cm="1">
        <f t="array" ref="O785">_xlfn.IFS(D785&gt;120000, "High Income", D785&gt;=80000, "Average Income", D785&lt;80000, "Low Income")</f>
        <v>Low Income</v>
      </c>
      <c r="P785">
        <f>IF(Table24[[#This Row],[Purchased Bike]]="Yes",1,0)</f>
        <v>0</v>
      </c>
    </row>
    <row r="786" spans="1:16" hidden="1" x14ac:dyDescent="0.25">
      <c r="A786">
        <v>20076</v>
      </c>
      <c r="B786" t="s">
        <v>35</v>
      </c>
      <c r="C786" t="s">
        <v>33</v>
      </c>
      <c r="D786" s="2">
        <v>10000</v>
      </c>
      <c r="E786">
        <v>2</v>
      </c>
      <c r="F786" t="s">
        <v>27</v>
      </c>
      <c r="G786" t="s">
        <v>25</v>
      </c>
      <c r="H786" t="s">
        <v>15</v>
      </c>
      <c r="I786">
        <v>2</v>
      </c>
      <c r="J786" t="s">
        <v>26</v>
      </c>
      <c r="K786" t="s">
        <v>32</v>
      </c>
      <c r="L786">
        <v>53</v>
      </c>
      <c r="M786" t="str" cm="1">
        <f t="array" ref="M786">_xlfn.IFS(
L786&gt;50,"Old Age",
L786&gt;=31,"Middle Age",
L786&lt;31,"Young Age"
)</f>
        <v>Old Age</v>
      </c>
      <c r="N786" t="s">
        <v>15</v>
      </c>
      <c r="O786" t="str" cm="1">
        <f t="array" ref="O786">_xlfn.IFS(D786&gt;120000, "High Income", D786&gt;=80000, "Average Income", D786&lt;80000, "Low Income")</f>
        <v>Low Income</v>
      </c>
      <c r="P786">
        <f>IF(Table24[[#This Row],[Purchased Bike]]="Yes",1,0)</f>
        <v>1</v>
      </c>
    </row>
    <row r="787" spans="1:16" hidden="1" x14ac:dyDescent="0.25">
      <c r="A787">
        <v>24496</v>
      </c>
      <c r="B787" t="s">
        <v>35</v>
      </c>
      <c r="C787" t="s">
        <v>33</v>
      </c>
      <c r="D787" s="2">
        <v>40000</v>
      </c>
      <c r="E787">
        <v>0</v>
      </c>
      <c r="F787" t="s">
        <v>27</v>
      </c>
      <c r="G787" t="s">
        <v>14</v>
      </c>
      <c r="H787" t="s">
        <v>18</v>
      </c>
      <c r="I787">
        <v>2</v>
      </c>
      <c r="J787" t="s">
        <v>16</v>
      </c>
      <c r="K787" t="s">
        <v>32</v>
      </c>
      <c r="L787">
        <v>28</v>
      </c>
      <c r="M787" t="str" cm="1">
        <f t="array" ref="M787">_xlfn.IFS(
L787&gt;50,"Old Age",
L787&gt;=31,"Middle Age",
L787&lt;31,"Young Age"
)</f>
        <v>Young Age</v>
      </c>
      <c r="N787" t="s">
        <v>15</v>
      </c>
      <c r="O787" t="str" cm="1">
        <f t="array" ref="O787">_xlfn.IFS(D787&gt;120000, "High Income", D787&gt;=80000, "Average Income", D787&lt;80000, "Low Income")</f>
        <v>Low Income</v>
      </c>
      <c r="P787">
        <f>IF(Table24[[#This Row],[Purchased Bike]]="Yes",1,0)</f>
        <v>1</v>
      </c>
    </row>
    <row r="788" spans="1:16" hidden="1" x14ac:dyDescent="0.25">
      <c r="A788">
        <v>15468</v>
      </c>
      <c r="B788" t="s">
        <v>34</v>
      </c>
      <c r="C788" t="s">
        <v>33</v>
      </c>
      <c r="D788" s="2">
        <v>50000</v>
      </c>
      <c r="E788">
        <v>1</v>
      </c>
      <c r="F788" t="s">
        <v>13</v>
      </c>
      <c r="G788" t="s">
        <v>14</v>
      </c>
      <c r="H788" t="s">
        <v>15</v>
      </c>
      <c r="I788">
        <v>1</v>
      </c>
      <c r="J788" t="s">
        <v>16</v>
      </c>
      <c r="K788" t="s">
        <v>32</v>
      </c>
      <c r="L788">
        <v>35</v>
      </c>
      <c r="M788" t="str" cm="1">
        <f t="array" ref="M788">_xlfn.IFS(
L788&gt;50,"Old Age",
L788&gt;=31,"Middle Age",
L788&lt;31,"Young Age"
)</f>
        <v>Middle Age</v>
      </c>
      <c r="N788" t="s">
        <v>18</v>
      </c>
      <c r="O788" t="str" cm="1">
        <f t="array" ref="O788">_xlfn.IFS(D788&gt;120000, "High Income", D788&gt;=80000, "Average Income", D788&lt;80000, "Low Income")</f>
        <v>Low Income</v>
      </c>
      <c r="P788">
        <f>IF(Table24[[#This Row],[Purchased Bike]]="Yes",1,0)</f>
        <v>0</v>
      </c>
    </row>
    <row r="789" spans="1:16" hidden="1" x14ac:dyDescent="0.25">
      <c r="A789">
        <v>28031</v>
      </c>
      <c r="B789" t="s">
        <v>35</v>
      </c>
      <c r="C789" t="s">
        <v>33</v>
      </c>
      <c r="D789" s="2">
        <v>70000</v>
      </c>
      <c r="E789">
        <v>2</v>
      </c>
      <c r="F789" t="s">
        <v>13</v>
      </c>
      <c r="G789" t="s">
        <v>28</v>
      </c>
      <c r="H789" t="s">
        <v>18</v>
      </c>
      <c r="I789">
        <v>1</v>
      </c>
      <c r="J789" t="s">
        <v>22</v>
      </c>
      <c r="K789" t="s">
        <v>32</v>
      </c>
      <c r="L789">
        <v>59</v>
      </c>
      <c r="M789" t="str" cm="1">
        <f t="array" ref="M789">_xlfn.IFS(
L789&gt;50,"Old Age",
L789&gt;=31,"Middle Age",
L789&lt;31,"Young Age"
)</f>
        <v>Old Age</v>
      </c>
      <c r="N789" t="s">
        <v>15</v>
      </c>
      <c r="O789" t="str" cm="1">
        <f t="array" ref="O789">_xlfn.IFS(D789&gt;120000, "High Income", D789&gt;=80000, "Average Income", D789&lt;80000, "Low Income")</f>
        <v>Low Income</v>
      </c>
      <c r="P789">
        <f>IF(Table24[[#This Row],[Purchased Bike]]="Yes",1,0)</f>
        <v>1</v>
      </c>
    </row>
    <row r="790" spans="1:16" hidden="1" x14ac:dyDescent="0.25">
      <c r="A790">
        <v>26270</v>
      </c>
      <c r="B790" t="s">
        <v>35</v>
      </c>
      <c r="C790" t="s">
        <v>33</v>
      </c>
      <c r="D790" s="2">
        <v>20000</v>
      </c>
      <c r="E790">
        <v>2</v>
      </c>
      <c r="F790" t="s">
        <v>29</v>
      </c>
      <c r="G790" t="s">
        <v>20</v>
      </c>
      <c r="H790" t="s">
        <v>15</v>
      </c>
      <c r="I790">
        <v>2</v>
      </c>
      <c r="J790" t="s">
        <v>26</v>
      </c>
      <c r="K790" t="s">
        <v>32</v>
      </c>
      <c r="L790">
        <v>49</v>
      </c>
      <c r="M790" t="str" cm="1">
        <f t="array" ref="M790">_xlfn.IFS(
L790&gt;50,"Old Age",
L790&gt;=31,"Middle Age",
L790&lt;31,"Young Age"
)</f>
        <v>Middle Age</v>
      </c>
      <c r="N790" t="s">
        <v>18</v>
      </c>
      <c r="O790" t="str" cm="1">
        <f t="array" ref="O790">_xlfn.IFS(D790&gt;120000, "High Income", D790&gt;=80000, "Average Income", D790&lt;80000, "Low Income")</f>
        <v>Low Income</v>
      </c>
      <c r="P790">
        <f>IF(Table24[[#This Row],[Purchased Bike]]="Yes",1,0)</f>
        <v>0</v>
      </c>
    </row>
    <row r="791" spans="1:16" x14ac:dyDescent="0.25">
      <c r="A791">
        <v>22221</v>
      </c>
      <c r="B791" t="s">
        <v>34</v>
      </c>
      <c r="C791" t="s">
        <v>34</v>
      </c>
      <c r="D791" s="2">
        <v>60000</v>
      </c>
      <c r="E791">
        <v>2</v>
      </c>
      <c r="F791" t="s">
        <v>27</v>
      </c>
      <c r="G791" t="s">
        <v>21</v>
      </c>
      <c r="H791" t="s">
        <v>18</v>
      </c>
      <c r="I791">
        <v>2</v>
      </c>
      <c r="J791" t="s">
        <v>26</v>
      </c>
      <c r="K791" t="s">
        <v>32</v>
      </c>
      <c r="L791">
        <v>48</v>
      </c>
      <c r="M791" t="str" cm="1">
        <f t="array" ref="M791">_xlfn.IFS(
L791&gt;50,"Old Age",
L791&gt;=31,"Middle Age",
L791&lt;31,"Young Age"
)</f>
        <v>Middle Age</v>
      </c>
      <c r="N791" t="s">
        <v>15</v>
      </c>
      <c r="O791" t="str" cm="1">
        <f t="array" ref="O791">_xlfn.IFS(D791&gt;120000, "High Income", D791&gt;=80000, "Average Income", D791&lt;80000, "Low Income")</f>
        <v>Low Income</v>
      </c>
      <c r="P791">
        <f>IF(Table24[[#This Row],[Purchased Bike]]="Yes",1,0)</f>
        <v>1</v>
      </c>
    </row>
    <row r="792" spans="1:16" hidden="1" x14ac:dyDescent="0.25">
      <c r="A792">
        <v>28228</v>
      </c>
      <c r="B792" t="s">
        <v>35</v>
      </c>
      <c r="C792" t="s">
        <v>33</v>
      </c>
      <c r="D792" s="2">
        <v>80000</v>
      </c>
      <c r="E792">
        <v>2</v>
      </c>
      <c r="F792" t="s">
        <v>29</v>
      </c>
      <c r="G792" t="s">
        <v>14</v>
      </c>
      <c r="H792" t="s">
        <v>18</v>
      </c>
      <c r="I792">
        <v>2</v>
      </c>
      <c r="J792" t="s">
        <v>26</v>
      </c>
      <c r="K792" t="s">
        <v>32</v>
      </c>
      <c r="L792">
        <v>50</v>
      </c>
      <c r="M792" t="str" cm="1">
        <f t="array" ref="M792">_xlfn.IFS(
L792&gt;50,"Old Age",
L792&gt;=31,"Middle Age",
L792&lt;31,"Young Age"
)</f>
        <v>Middle Age</v>
      </c>
      <c r="N792" t="s">
        <v>18</v>
      </c>
      <c r="O792" t="str" cm="1">
        <f t="array" ref="O792">_xlfn.IFS(D792&gt;120000, "High Income", D792&gt;=80000, "Average Income", D792&lt;80000, "Low Income")</f>
        <v>Average Income</v>
      </c>
      <c r="P792">
        <f>IF(Table24[[#This Row],[Purchased Bike]]="Yes",1,0)</f>
        <v>0</v>
      </c>
    </row>
    <row r="793" spans="1:16" hidden="1" x14ac:dyDescent="0.25">
      <c r="A793">
        <v>18363</v>
      </c>
      <c r="B793" t="s">
        <v>34</v>
      </c>
      <c r="C793" t="s">
        <v>34</v>
      </c>
      <c r="D793" s="2">
        <v>40000</v>
      </c>
      <c r="E793">
        <v>0</v>
      </c>
      <c r="F793" t="s">
        <v>27</v>
      </c>
      <c r="G793" t="s">
        <v>14</v>
      </c>
      <c r="H793" t="s">
        <v>15</v>
      </c>
      <c r="I793">
        <v>2</v>
      </c>
      <c r="J793" t="s">
        <v>23</v>
      </c>
      <c r="K793" t="s">
        <v>32</v>
      </c>
      <c r="L793">
        <v>28</v>
      </c>
      <c r="M793" t="str" cm="1">
        <f t="array" ref="M793">_xlfn.IFS(
L793&gt;50,"Old Age",
L793&gt;=31,"Middle Age",
L793&lt;31,"Young Age"
)</f>
        <v>Young Age</v>
      </c>
      <c r="N793" t="s">
        <v>15</v>
      </c>
      <c r="O793" t="str" cm="1">
        <f t="array" ref="O793">_xlfn.IFS(D793&gt;120000, "High Income", D793&gt;=80000, "Average Income", D793&lt;80000, "Low Income")</f>
        <v>Low Income</v>
      </c>
      <c r="P793">
        <f>IF(Table24[[#This Row],[Purchased Bike]]="Yes",1,0)</f>
        <v>1</v>
      </c>
    </row>
    <row r="794" spans="1:16" hidden="1" x14ac:dyDescent="0.25">
      <c r="A794">
        <v>23256</v>
      </c>
      <c r="B794" t="s">
        <v>35</v>
      </c>
      <c r="C794" t="s">
        <v>34</v>
      </c>
      <c r="D794" s="2">
        <v>30000</v>
      </c>
      <c r="E794">
        <v>1</v>
      </c>
      <c r="F794" t="s">
        <v>27</v>
      </c>
      <c r="G794" t="s">
        <v>20</v>
      </c>
      <c r="H794" t="s">
        <v>18</v>
      </c>
      <c r="I794">
        <v>1</v>
      </c>
      <c r="J794" t="s">
        <v>23</v>
      </c>
      <c r="K794" t="s">
        <v>32</v>
      </c>
      <c r="L794">
        <v>52</v>
      </c>
      <c r="M794" t="str" cm="1">
        <f t="array" ref="M794">_xlfn.IFS(
L794&gt;50,"Old Age",
L794&gt;=31,"Middle Age",
L794&lt;31,"Young Age"
)</f>
        <v>Old Age</v>
      </c>
      <c r="N794" t="s">
        <v>18</v>
      </c>
      <c r="O794" t="str" cm="1">
        <f t="array" ref="O794">_xlfn.IFS(D794&gt;120000, "High Income", D794&gt;=80000, "Average Income", D794&lt;80000, "Low Income")</f>
        <v>Low Income</v>
      </c>
      <c r="P794">
        <f>IF(Table24[[#This Row],[Purchased Bike]]="Yes",1,0)</f>
        <v>0</v>
      </c>
    </row>
    <row r="795" spans="1:16" hidden="1" x14ac:dyDescent="0.25">
      <c r="A795">
        <v>12768</v>
      </c>
      <c r="B795" t="s">
        <v>34</v>
      </c>
      <c r="C795" t="s">
        <v>34</v>
      </c>
      <c r="D795" s="2">
        <v>30000</v>
      </c>
      <c r="E795">
        <v>1</v>
      </c>
      <c r="F795" t="s">
        <v>27</v>
      </c>
      <c r="G795" t="s">
        <v>20</v>
      </c>
      <c r="H795" t="s">
        <v>15</v>
      </c>
      <c r="I795">
        <v>1</v>
      </c>
      <c r="J795" t="s">
        <v>22</v>
      </c>
      <c r="K795" t="s">
        <v>32</v>
      </c>
      <c r="L795">
        <v>52</v>
      </c>
      <c r="M795" t="str" cm="1">
        <f t="array" ref="M795">_xlfn.IFS(
L795&gt;50,"Old Age",
L795&gt;=31,"Middle Age",
L795&lt;31,"Young Age"
)</f>
        <v>Old Age</v>
      </c>
      <c r="N795" t="s">
        <v>15</v>
      </c>
      <c r="O795" t="str" cm="1">
        <f t="array" ref="O795">_xlfn.IFS(D795&gt;120000, "High Income", D795&gt;=80000, "Average Income", D795&lt;80000, "Low Income")</f>
        <v>Low Income</v>
      </c>
      <c r="P795">
        <f>IF(Table24[[#This Row],[Purchased Bike]]="Yes",1,0)</f>
        <v>1</v>
      </c>
    </row>
    <row r="796" spans="1:16" hidden="1" x14ac:dyDescent="0.25">
      <c r="A796">
        <v>20361</v>
      </c>
      <c r="B796" t="s">
        <v>34</v>
      </c>
      <c r="C796" t="s">
        <v>34</v>
      </c>
      <c r="D796" s="2">
        <v>50000</v>
      </c>
      <c r="E796">
        <v>2</v>
      </c>
      <c r="F796" t="s">
        <v>31</v>
      </c>
      <c r="G796" t="s">
        <v>28</v>
      </c>
      <c r="H796" t="s">
        <v>15</v>
      </c>
      <c r="I796">
        <v>2</v>
      </c>
      <c r="J796" t="s">
        <v>23</v>
      </c>
      <c r="K796" t="s">
        <v>32</v>
      </c>
      <c r="L796">
        <v>69</v>
      </c>
      <c r="M796" t="str" cm="1">
        <f t="array" ref="M796">_xlfn.IFS(
L796&gt;50,"Old Age",
L796&gt;=31,"Middle Age",
L796&lt;31,"Young Age"
)</f>
        <v>Old Age</v>
      </c>
      <c r="N796" t="s">
        <v>18</v>
      </c>
      <c r="O796" t="str" cm="1">
        <f t="array" ref="O796">_xlfn.IFS(D796&gt;120000, "High Income", D796&gt;=80000, "Average Income", D796&lt;80000, "Low Income")</f>
        <v>Low Income</v>
      </c>
      <c r="P796">
        <f>IF(Table24[[#This Row],[Purchased Bike]]="Yes",1,0)</f>
        <v>0</v>
      </c>
    </row>
    <row r="797" spans="1:16" hidden="1" x14ac:dyDescent="0.25">
      <c r="A797">
        <v>21306</v>
      </c>
      <c r="B797" t="s">
        <v>35</v>
      </c>
      <c r="C797" t="s">
        <v>34</v>
      </c>
      <c r="D797" s="2">
        <v>60000</v>
      </c>
      <c r="E797">
        <v>2</v>
      </c>
      <c r="F797" t="s">
        <v>27</v>
      </c>
      <c r="G797" t="s">
        <v>21</v>
      </c>
      <c r="H797" t="s">
        <v>15</v>
      </c>
      <c r="I797">
        <v>2</v>
      </c>
      <c r="J797" t="s">
        <v>23</v>
      </c>
      <c r="K797" t="s">
        <v>32</v>
      </c>
      <c r="L797">
        <v>51</v>
      </c>
      <c r="M797" t="str" cm="1">
        <f t="array" ref="M797">_xlfn.IFS(
L797&gt;50,"Old Age",
L797&gt;=31,"Middle Age",
L797&lt;31,"Young Age"
)</f>
        <v>Old Age</v>
      </c>
      <c r="N797" t="s">
        <v>18</v>
      </c>
      <c r="O797" t="str" cm="1">
        <f t="array" ref="O797">_xlfn.IFS(D797&gt;120000, "High Income", D797&gt;=80000, "Average Income", D797&lt;80000, "Low Income")</f>
        <v>Low Income</v>
      </c>
      <c r="P797">
        <f>IF(Table24[[#This Row],[Purchased Bike]]="Yes",1,0)</f>
        <v>0</v>
      </c>
    </row>
    <row r="798" spans="1:16" hidden="1" x14ac:dyDescent="0.25">
      <c r="A798">
        <v>13382</v>
      </c>
      <c r="B798" t="s">
        <v>34</v>
      </c>
      <c r="C798" t="s">
        <v>34</v>
      </c>
      <c r="D798" s="2">
        <v>70000</v>
      </c>
      <c r="E798">
        <v>5</v>
      </c>
      <c r="F798" t="s">
        <v>19</v>
      </c>
      <c r="G798" t="s">
        <v>21</v>
      </c>
      <c r="H798" t="s">
        <v>15</v>
      </c>
      <c r="I798">
        <v>2</v>
      </c>
      <c r="J798" t="s">
        <v>26</v>
      </c>
      <c r="K798" t="s">
        <v>32</v>
      </c>
      <c r="L798">
        <v>57</v>
      </c>
      <c r="M798" t="str" cm="1">
        <f t="array" ref="M798">_xlfn.IFS(
L798&gt;50,"Old Age",
L798&gt;=31,"Middle Age",
L798&lt;31,"Young Age"
)</f>
        <v>Old Age</v>
      </c>
      <c r="N798" t="s">
        <v>15</v>
      </c>
      <c r="O798" t="str" cm="1">
        <f t="array" ref="O798">_xlfn.IFS(D798&gt;120000, "High Income", D798&gt;=80000, "Average Income", D798&lt;80000, "Low Income")</f>
        <v>Low Income</v>
      </c>
      <c r="P798">
        <f>IF(Table24[[#This Row],[Purchased Bike]]="Yes",1,0)</f>
        <v>1</v>
      </c>
    </row>
    <row r="799" spans="1:16" hidden="1" x14ac:dyDescent="0.25">
      <c r="A799">
        <v>20310</v>
      </c>
      <c r="B799" t="s">
        <v>35</v>
      </c>
      <c r="C799" t="s">
        <v>34</v>
      </c>
      <c r="D799" s="2">
        <v>60000</v>
      </c>
      <c r="E799">
        <v>0</v>
      </c>
      <c r="F799" t="s">
        <v>19</v>
      </c>
      <c r="G799" t="s">
        <v>14</v>
      </c>
      <c r="H799" t="s">
        <v>15</v>
      </c>
      <c r="I799">
        <v>1</v>
      </c>
      <c r="J799" t="s">
        <v>23</v>
      </c>
      <c r="K799" t="s">
        <v>32</v>
      </c>
      <c r="L799">
        <v>27</v>
      </c>
      <c r="M799" t="str" cm="1">
        <f t="array" ref="M799">_xlfn.IFS(
L799&gt;50,"Old Age",
L799&gt;=31,"Middle Age",
L799&lt;31,"Young Age"
)</f>
        <v>Young Age</v>
      </c>
      <c r="N799" t="s">
        <v>15</v>
      </c>
      <c r="O799" t="str" cm="1">
        <f t="array" ref="O799">_xlfn.IFS(D799&gt;120000, "High Income", D799&gt;=80000, "Average Income", D799&lt;80000, "Low Income")</f>
        <v>Low Income</v>
      </c>
      <c r="P799">
        <f>IF(Table24[[#This Row],[Purchased Bike]]="Yes",1,0)</f>
        <v>1</v>
      </c>
    </row>
    <row r="800" spans="1:16" hidden="1" x14ac:dyDescent="0.25">
      <c r="A800">
        <v>22971</v>
      </c>
      <c r="B800" t="s">
        <v>35</v>
      </c>
      <c r="C800" t="s">
        <v>33</v>
      </c>
      <c r="D800" s="2">
        <v>30000</v>
      </c>
      <c r="E800">
        <v>0</v>
      </c>
      <c r="F800" t="s">
        <v>27</v>
      </c>
      <c r="G800" t="s">
        <v>14</v>
      </c>
      <c r="H800" t="s">
        <v>18</v>
      </c>
      <c r="I800">
        <v>2</v>
      </c>
      <c r="J800" t="s">
        <v>16</v>
      </c>
      <c r="K800" t="s">
        <v>32</v>
      </c>
      <c r="L800">
        <v>25</v>
      </c>
      <c r="M800" t="str" cm="1">
        <f t="array" ref="M800">_xlfn.IFS(
L800&gt;50,"Old Age",
L800&gt;=31,"Middle Age",
L800&lt;31,"Young Age"
)</f>
        <v>Young Age</v>
      </c>
      <c r="N800" t="s">
        <v>15</v>
      </c>
      <c r="O800" t="str" cm="1">
        <f t="array" ref="O800">_xlfn.IFS(D800&gt;120000, "High Income", D800&gt;=80000, "Average Income", D800&lt;80000, "Low Income")</f>
        <v>Low Income</v>
      </c>
      <c r="P800">
        <f>IF(Table24[[#This Row],[Purchased Bike]]="Yes",1,0)</f>
        <v>1</v>
      </c>
    </row>
    <row r="801" spans="1:16" x14ac:dyDescent="0.25">
      <c r="A801">
        <v>15287</v>
      </c>
      <c r="B801" t="s">
        <v>35</v>
      </c>
      <c r="C801" t="s">
        <v>33</v>
      </c>
      <c r="D801" s="2">
        <v>50000</v>
      </c>
      <c r="E801">
        <v>1</v>
      </c>
      <c r="F801" t="s">
        <v>31</v>
      </c>
      <c r="G801" t="s">
        <v>14</v>
      </c>
      <c r="H801" t="s">
        <v>15</v>
      </c>
      <c r="I801">
        <v>0</v>
      </c>
      <c r="J801" t="s">
        <v>26</v>
      </c>
      <c r="K801" t="s">
        <v>32</v>
      </c>
      <c r="L801">
        <v>33</v>
      </c>
      <c r="M801" t="str" cm="1">
        <f t="array" ref="M801">_xlfn.IFS(
L801&gt;50,"Old Age",
L801&gt;=31,"Middle Age",
L801&lt;31,"Young Age"
)</f>
        <v>Middle Age</v>
      </c>
      <c r="N801" t="s">
        <v>15</v>
      </c>
      <c r="O801" t="str" cm="1">
        <f t="array" ref="O801">_xlfn.IFS(D801&gt;120000, "High Income", D801&gt;=80000, "Average Income", D801&lt;80000, "Low Income")</f>
        <v>Low Income</v>
      </c>
      <c r="P801">
        <f>IF(Table24[[#This Row],[Purchased Bike]]="Yes",1,0)</f>
        <v>1</v>
      </c>
    </row>
    <row r="802" spans="1:16" x14ac:dyDescent="0.25">
      <c r="A802">
        <v>15532</v>
      </c>
      <c r="B802" t="s">
        <v>35</v>
      </c>
      <c r="C802" t="s">
        <v>34</v>
      </c>
      <c r="D802" s="2">
        <v>60000</v>
      </c>
      <c r="E802">
        <v>4</v>
      </c>
      <c r="F802" t="s">
        <v>13</v>
      </c>
      <c r="G802" t="s">
        <v>21</v>
      </c>
      <c r="H802" t="s">
        <v>15</v>
      </c>
      <c r="I802">
        <v>2</v>
      </c>
      <c r="J802" t="s">
        <v>22</v>
      </c>
      <c r="K802" t="s">
        <v>32</v>
      </c>
      <c r="L802">
        <v>43</v>
      </c>
      <c r="M802" t="str" cm="1">
        <f t="array" ref="M802">_xlfn.IFS(
L802&gt;50,"Old Age",
L802&gt;=31,"Middle Age",
L802&lt;31,"Young Age"
)</f>
        <v>Middle Age</v>
      </c>
      <c r="N802" t="s">
        <v>15</v>
      </c>
      <c r="O802" t="str" cm="1">
        <f t="array" ref="O802">_xlfn.IFS(D802&gt;120000, "High Income", D802&gt;=80000, "Average Income", D802&lt;80000, "Low Income")</f>
        <v>Low Income</v>
      </c>
      <c r="P802">
        <f>IF(Table24[[#This Row],[Purchased Bike]]="Yes",1,0)</f>
        <v>1</v>
      </c>
    </row>
    <row r="803" spans="1:16" hidden="1" x14ac:dyDescent="0.25">
      <c r="A803">
        <v>11255</v>
      </c>
      <c r="B803" t="s">
        <v>34</v>
      </c>
      <c r="C803" t="s">
        <v>34</v>
      </c>
      <c r="D803" s="2">
        <v>70000</v>
      </c>
      <c r="E803">
        <v>4</v>
      </c>
      <c r="F803" t="s">
        <v>31</v>
      </c>
      <c r="G803" t="s">
        <v>28</v>
      </c>
      <c r="H803" t="s">
        <v>15</v>
      </c>
      <c r="I803">
        <v>2</v>
      </c>
      <c r="J803" t="s">
        <v>23</v>
      </c>
      <c r="K803" t="s">
        <v>32</v>
      </c>
      <c r="L803">
        <v>73</v>
      </c>
      <c r="M803" t="str" cm="1">
        <f t="array" ref="M803">_xlfn.IFS(
L803&gt;50,"Old Age",
L803&gt;=31,"Middle Age",
L803&lt;31,"Young Age"
)</f>
        <v>Old Age</v>
      </c>
      <c r="N803" t="s">
        <v>18</v>
      </c>
      <c r="O803" t="str" cm="1">
        <f t="array" ref="O803">_xlfn.IFS(D803&gt;120000, "High Income", D803&gt;=80000, "Average Income", D803&lt;80000, "Low Income")</f>
        <v>Low Income</v>
      </c>
      <c r="P803">
        <f>IF(Table24[[#This Row],[Purchased Bike]]="Yes",1,0)</f>
        <v>0</v>
      </c>
    </row>
    <row r="804" spans="1:16" hidden="1" x14ac:dyDescent="0.25">
      <c r="A804">
        <v>28090</v>
      </c>
      <c r="B804" t="s">
        <v>34</v>
      </c>
      <c r="C804" t="s">
        <v>34</v>
      </c>
      <c r="D804" s="2">
        <v>40000</v>
      </c>
      <c r="E804">
        <v>0</v>
      </c>
      <c r="F804" t="s">
        <v>19</v>
      </c>
      <c r="G804" t="s">
        <v>14</v>
      </c>
      <c r="H804" t="s">
        <v>15</v>
      </c>
      <c r="I804">
        <v>1</v>
      </c>
      <c r="J804" t="s">
        <v>23</v>
      </c>
      <c r="K804" t="s">
        <v>32</v>
      </c>
      <c r="L804">
        <v>27</v>
      </c>
      <c r="M804" t="str" cm="1">
        <f t="array" ref="M804">_xlfn.IFS(
L804&gt;50,"Old Age",
L804&gt;=31,"Middle Age",
L804&lt;31,"Young Age"
)</f>
        <v>Young Age</v>
      </c>
      <c r="N804" t="s">
        <v>18</v>
      </c>
      <c r="O804" t="str" cm="1">
        <f t="array" ref="O804">_xlfn.IFS(D804&gt;120000, "High Income", D804&gt;=80000, "Average Income", D804&lt;80000, "Low Income")</f>
        <v>Low Income</v>
      </c>
      <c r="P804">
        <f>IF(Table24[[#This Row],[Purchased Bike]]="Yes",1,0)</f>
        <v>0</v>
      </c>
    </row>
    <row r="805" spans="1:16" hidden="1" x14ac:dyDescent="0.25">
      <c r="A805">
        <v>15255</v>
      </c>
      <c r="B805" t="s">
        <v>34</v>
      </c>
      <c r="C805" t="s">
        <v>34</v>
      </c>
      <c r="D805" s="2">
        <v>40000</v>
      </c>
      <c r="E805">
        <v>0</v>
      </c>
      <c r="F805" t="s">
        <v>27</v>
      </c>
      <c r="G805" t="s">
        <v>14</v>
      </c>
      <c r="H805" t="s">
        <v>15</v>
      </c>
      <c r="I805">
        <v>2</v>
      </c>
      <c r="J805" t="s">
        <v>23</v>
      </c>
      <c r="K805" t="s">
        <v>32</v>
      </c>
      <c r="L805">
        <v>28</v>
      </c>
      <c r="M805" t="str" cm="1">
        <f t="array" ref="M805">_xlfn.IFS(
L805&gt;50,"Old Age",
L805&gt;=31,"Middle Age",
L805&lt;31,"Young Age"
)</f>
        <v>Young Age</v>
      </c>
      <c r="N805" t="s">
        <v>15</v>
      </c>
      <c r="O805" t="str" cm="1">
        <f t="array" ref="O805">_xlfn.IFS(D805&gt;120000, "High Income", D805&gt;=80000, "Average Income", D805&lt;80000, "Low Income")</f>
        <v>Low Income</v>
      </c>
      <c r="P805">
        <f>IF(Table24[[#This Row],[Purchased Bike]]="Yes",1,0)</f>
        <v>1</v>
      </c>
    </row>
    <row r="806" spans="1:16" hidden="1" x14ac:dyDescent="0.25">
      <c r="A806">
        <v>13154</v>
      </c>
      <c r="B806" t="s">
        <v>34</v>
      </c>
      <c r="C806" t="s">
        <v>34</v>
      </c>
      <c r="D806" s="2">
        <v>40000</v>
      </c>
      <c r="E806">
        <v>0</v>
      </c>
      <c r="F806" t="s">
        <v>27</v>
      </c>
      <c r="G806" t="s">
        <v>14</v>
      </c>
      <c r="H806" t="s">
        <v>18</v>
      </c>
      <c r="I806">
        <v>2</v>
      </c>
      <c r="J806" t="s">
        <v>16</v>
      </c>
      <c r="K806" t="s">
        <v>32</v>
      </c>
      <c r="L806">
        <v>27</v>
      </c>
      <c r="M806" t="str" cm="1">
        <f t="array" ref="M806">_xlfn.IFS(
L806&gt;50,"Old Age",
L806&gt;=31,"Middle Age",
L806&lt;31,"Young Age"
)</f>
        <v>Young Age</v>
      </c>
      <c r="N806" t="s">
        <v>15</v>
      </c>
      <c r="O806" t="str" cm="1">
        <f t="array" ref="O806">_xlfn.IFS(D806&gt;120000, "High Income", D806&gt;=80000, "Average Income", D806&lt;80000, "Low Income")</f>
        <v>Low Income</v>
      </c>
      <c r="P806">
        <f>IF(Table24[[#This Row],[Purchased Bike]]="Yes",1,0)</f>
        <v>1</v>
      </c>
    </row>
    <row r="807" spans="1:16" hidden="1" x14ac:dyDescent="0.25">
      <c r="A807">
        <v>26778</v>
      </c>
      <c r="B807" t="s">
        <v>35</v>
      </c>
      <c r="C807" t="s">
        <v>33</v>
      </c>
      <c r="D807" s="2">
        <v>40000</v>
      </c>
      <c r="E807">
        <v>0</v>
      </c>
      <c r="F807" t="s">
        <v>27</v>
      </c>
      <c r="G807" t="s">
        <v>14</v>
      </c>
      <c r="H807" t="s">
        <v>15</v>
      </c>
      <c r="I807">
        <v>2</v>
      </c>
      <c r="J807" t="s">
        <v>23</v>
      </c>
      <c r="K807" t="s">
        <v>32</v>
      </c>
      <c r="L807">
        <v>31</v>
      </c>
      <c r="M807" t="str" cm="1">
        <f t="array" ref="M807">_xlfn.IFS(
L807&gt;50,"Old Age",
L807&gt;=31,"Middle Age",
L807&lt;31,"Young Age"
)</f>
        <v>Middle Age</v>
      </c>
      <c r="N807" t="s">
        <v>18</v>
      </c>
      <c r="O807" t="str" cm="1">
        <f t="array" ref="O807">_xlfn.IFS(D807&gt;120000, "High Income", D807&gt;=80000, "Average Income", D807&lt;80000, "Low Income")</f>
        <v>Low Income</v>
      </c>
      <c r="P807">
        <f>IF(Table24[[#This Row],[Purchased Bike]]="Yes",1,0)</f>
        <v>0</v>
      </c>
    </row>
    <row r="808" spans="1:16" hidden="1" x14ac:dyDescent="0.25">
      <c r="A808">
        <v>23248</v>
      </c>
      <c r="B808" t="s">
        <v>34</v>
      </c>
      <c r="C808" t="s">
        <v>33</v>
      </c>
      <c r="D808" s="2">
        <v>10000</v>
      </c>
      <c r="E808">
        <v>2</v>
      </c>
      <c r="F808" t="s">
        <v>27</v>
      </c>
      <c r="G808" t="s">
        <v>25</v>
      </c>
      <c r="H808" t="s">
        <v>15</v>
      </c>
      <c r="I808">
        <v>2</v>
      </c>
      <c r="J808" t="s">
        <v>26</v>
      </c>
      <c r="K808" t="s">
        <v>32</v>
      </c>
      <c r="L808">
        <v>53</v>
      </c>
      <c r="M808" t="str" cm="1">
        <f t="array" ref="M808">_xlfn.IFS(
L808&gt;50,"Old Age",
L808&gt;=31,"Middle Age",
L808&lt;31,"Young Age"
)</f>
        <v>Old Age</v>
      </c>
      <c r="N808" t="s">
        <v>18</v>
      </c>
      <c r="O808" t="str" cm="1">
        <f t="array" ref="O808">_xlfn.IFS(D808&gt;120000, "High Income", D808&gt;=80000, "Average Income", D808&lt;80000, "Low Income")</f>
        <v>Low Income</v>
      </c>
      <c r="P808">
        <f>IF(Table24[[#This Row],[Purchased Bike]]="Yes",1,0)</f>
        <v>0</v>
      </c>
    </row>
    <row r="809" spans="1:16" x14ac:dyDescent="0.25">
      <c r="A809">
        <v>21417</v>
      </c>
      <c r="B809" t="s">
        <v>35</v>
      </c>
      <c r="C809" t="s">
        <v>33</v>
      </c>
      <c r="D809" s="2">
        <v>60000</v>
      </c>
      <c r="E809">
        <v>0</v>
      </c>
      <c r="F809" t="s">
        <v>19</v>
      </c>
      <c r="G809" t="s">
        <v>21</v>
      </c>
      <c r="H809" t="s">
        <v>18</v>
      </c>
      <c r="I809">
        <v>2</v>
      </c>
      <c r="J809" t="s">
        <v>26</v>
      </c>
      <c r="K809" t="s">
        <v>32</v>
      </c>
      <c r="L809">
        <v>32</v>
      </c>
      <c r="M809" t="str" cm="1">
        <f t="array" ref="M809">_xlfn.IFS(
L809&gt;50,"Old Age",
L809&gt;=31,"Middle Age",
L809&lt;31,"Young Age"
)</f>
        <v>Middle Age</v>
      </c>
      <c r="N809" t="s">
        <v>15</v>
      </c>
      <c r="O809" t="str" cm="1">
        <f t="array" ref="O809">_xlfn.IFS(D809&gt;120000, "High Income", D809&gt;=80000, "Average Income", D809&lt;80000, "Low Income")</f>
        <v>Low Income</v>
      </c>
      <c r="P809">
        <f>IF(Table24[[#This Row],[Purchased Bike]]="Yes",1,0)</f>
        <v>1</v>
      </c>
    </row>
    <row r="810" spans="1:16" x14ac:dyDescent="0.25">
      <c r="A810">
        <v>17668</v>
      </c>
      <c r="B810" t="s">
        <v>35</v>
      </c>
      <c r="C810" t="s">
        <v>34</v>
      </c>
      <c r="D810" s="2">
        <v>30000</v>
      </c>
      <c r="E810">
        <v>2</v>
      </c>
      <c r="F810" t="s">
        <v>27</v>
      </c>
      <c r="G810" t="s">
        <v>14</v>
      </c>
      <c r="H810" t="s">
        <v>15</v>
      </c>
      <c r="I810">
        <v>2</v>
      </c>
      <c r="J810" t="s">
        <v>26</v>
      </c>
      <c r="K810" t="s">
        <v>32</v>
      </c>
      <c r="L810">
        <v>50</v>
      </c>
      <c r="M810" t="str" cm="1">
        <f t="array" ref="M810">_xlfn.IFS(
L810&gt;50,"Old Age",
L810&gt;=31,"Middle Age",
L810&lt;31,"Young Age"
)</f>
        <v>Middle Age</v>
      </c>
      <c r="N810" t="s">
        <v>15</v>
      </c>
      <c r="O810" t="str" cm="1">
        <f t="array" ref="O810">_xlfn.IFS(D810&gt;120000, "High Income", D810&gt;=80000, "Average Income", D810&lt;80000, "Low Income")</f>
        <v>Low Income</v>
      </c>
      <c r="P810">
        <f>IF(Table24[[#This Row],[Purchased Bike]]="Yes",1,0)</f>
        <v>1</v>
      </c>
    </row>
    <row r="811" spans="1:16" hidden="1" x14ac:dyDescent="0.25">
      <c r="A811">
        <v>27994</v>
      </c>
      <c r="B811" t="s">
        <v>34</v>
      </c>
      <c r="C811" t="s">
        <v>33</v>
      </c>
      <c r="D811" s="2">
        <v>40000</v>
      </c>
      <c r="E811">
        <v>4</v>
      </c>
      <c r="F811" t="s">
        <v>27</v>
      </c>
      <c r="G811" t="s">
        <v>21</v>
      </c>
      <c r="H811" t="s">
        <v>15</v>
      </c>
      <c r="I811">
        <v>2</v>
      </c>
      <c r="J811" t="s">
        <v>23</v>
      </c>
      <c r="K811" t="s">
        <v>32</v>
      </c>
      <c r="L811">
        <v>69</v>
      </c>
      <c r="M811" t="str" cm="1">
        <f t="array" ref="M811">_xlfn.IFS(
L811&gt;50,"Old Age",
L811&gt;=31,"Middle Age",
L811&lt;31,"Young Age"
)</f>
        <v>Old Age</v>
      </c>
      <c r="N811" t="s">
        <v>18</v>
      </c>
      <c r="O811" t="str" cm="1">
        <f t="array" ref="O811">_xlfn.IFS(D811&gt;120000, "High Income", D811&gt;=80000, "Average Income", D811&lt;80000, "Low Income")</f>
        <v>Low Income</v>
      </c>
      <c r="P811">
        <f>IF(Table24[[#This Row],[Purchased Bike]]="Yes",1,0)</f>
        <v>0</v>
      </c>
    </row>
    <row r="812" spans="1:16" hidden="1" x14ac:dyDescent="0.25">
      <c r="A812">
        <v>20376</v>
      </c>
      <c r="B812" t="s">
        <v>35</v>
      </c>
      <c r="C812" t="s">
        <v>33</v>
      </c>
      <c r="D812" s="2">
        <v>70000</v>
      </c>
      <c r="E812">
        <v>3</v>
      </c>
      <c r="F812" t="s">
        <v>31</v>
      </c>
      <c r="G812" t="s">
        <v>28</v>
      </c>
      <c r="H812" t="s">
        <v>15</v>
      </c>
      <c r="I812">
        <v>2</v>
      </c>
      <c r="J812" t="s">
        <v>23</v>
      </c>
      <c r="K812" t="s">
        <v>32</v>
      </c>
      <c r="L812">
        <v>52</v>
      </c>
      <c r="M812" t="str" cm="1">
        <f t="array" ref="M812">_xlfn.IFS(
L812&gt;50,"Old Age",
L812&gt;=31,"Middle Age",
L812&lt;31,"Young Age"
)</f>
        <v>Old Age</v>
      </c>
      <c r="N812" t="s">
        <v>15</v>
      </c>
      <c r="O812" t="str" cm="1">
        <f t="array" ref="O812">_xlfn.IFS(D812&gt;120000, "High Income", D812&gt;=80000, "Average Income", D812&lt;80000, "Low Income")</f>
        <v>Low Income</v>
      </c>
      <c r="P812">
        <f>IF(Table24[[#This Row],[Purchased Bike]]="Yes",1,0)</f>
        <v>1</v>
      </c>
    </row>
    <row r="813" spans="1:16" hidden="1" x14ac:dyDescent="0.25">
      <c r="A813">
        <v>25954</v>
      </c>
      <c r="B813" t="s">
        <v>34</v>
      </c>
      <c r="C813" t="s">
        <v>34</v>
      </c>
      <c r="D813" s="2">
        <v>60000</v>
      </c>
      <c r="E813">
        <v>0</v>
      </c>
      <c r="F813" t="s">
        <v>19</v>
      </c>
      <c r="G813" t="s">
        <v>14</v>
      </c>
      <c r="H813" t="s">
        <v>18</v>
      </c>
      <c r="I813">
        <v>2</v>
      </c>
      <c r="J813" t="s">
        <v>26</v>
      </c>
      <c r="K813" t="s">
        <v>32</v>
      </c>
      <c r="L813">
        <v>31</v>
      </c>
      <c r="M813" t="str" cm="1">
        <f t="array" ref="M813">_xlfn.IFS(
L813&gt;50,"Old Age",
L813&gt;=31,"Middle Age",
L813&lt;31,"Young Age"
)</f>
        <v>Middle Age</v>
      </c>
      <c r="N813" t="s">
        <v>18</v>
      </c>
      <c r="O813" t="str" cm="1">
        <f t="array" ref="O813">_xlfn.IFS(D813&gt;120000, "High Income", D813&gt;=80000, "Average Income", D813&lt;80000, "Low Income")</f>
        <v>Low Income</v>
      </c>
      <c r="P813">
        <f>IF(Table24[[#This Row],[Purchased Bike]]="Yes",1,0)</f>
        <v>0</v>
      </c>
    </row>
    <row r="814" spans="1:16" hidden="1" x14ac:dyDescent="0.25">
      <c r="A814">
        <v>15749</v>
      </c>
      <c r="B814" t="s">
        <v>35</v>
      </c>
      <c r="C814" t="s">
        <v>33</v>
      </c>
      <c r="D814" s="2">
        <v>70000</v>
      </c>
      <c r="E814">
        <v>4</v>
      </c>
      <c r="F814" t="s">
        <v>13</v>
      </c>
      <c r="G814" t="s">
        <v>28</v>
      </c>
      <c r="H814" t="s">
        <v>15</v>
      </c>
      <c r="I814">
        <v>2</v>
      </c>
      <c r="J814" t="s">
        <v>30</v>
      </c>
      <c r="K814" t="s">
        <v>32</v>
      </c>
      <c r="L814">
        <v>61</v>
      </c>
      <c r="M814" t="str" cm="1">
        <f t="array" ref="M814">_xlfn.IFS(
L814&gt;50,"Old Age",
L814&gt;=31,"Middle Age",
L814&lt;31,"Young Age"
)</f>
        <v>Old Age</v>
      </c>
      <c r="N814" t="s">
        <v>18</v>
      </c>
      <c r="O814" t="str" cm="1">
        <f t="array" ref="O814">_xlfn.IFS(D814&gt;120000, "High Income", D814&gt;=80000, "Average Income", D814&lt;80000, "Low Income")</f>
        <v>Low Income</v>
      </c>
      <c r="P814">
        <f>IF(Table24[[#This Row],[Purchased Bike]]="Yes",1,0)</f>
        <v>0</v>
      </c>
    </row>
    <row r="815" spans="1:16" hidden="1" x14ac:dyDescent="0.25">
      <c r="A815">
        <v>25899</v>
      </c>
      <c r="B815" t="s">
        <v>34</v>
      </c>
      <c r="C815" t="s">
        <v>33</v>
      </c>
      <c r="D815" s="2">
        <v>70000</v>
      </c>
      <c r="E815">
        <v>2</v>
      </c>
      <c r="F815" t="s">
        <v>27</v>
      </c>
      <c r="G815" t="s">
        <v>21</v>
      </c>
      <c r="H815" t="s">
        <v>15</v>
      </c>
      <c r="I815">
        <v>2</v>
      </c>
      <c r="J815" t="s">
        <v>30</v>
      </c>
      <c r="K815" t="s">
        <v>32</v>
      </c>
      <c r="L815">
        <v>53</v>
      </c>
      <c r="M815" t="str" cm="1">
        <f t="array" ref="M815">_xlfn.IFS(
L815&gt;50,"Old Age",
L815&gt;=31,"Middle Age",
L815&lt;31,"Young Age"
)</f>
        <v>Old Age</v>
      </c>
      <c r="N815" t="s">
        <v>18</v>
      </c>
      <c r="O815" t="str" cm="1">
        <f t="array" ref="O815">_xlfn.IFS(D815&gt;120000, "High Income", D815&gt;=80000, "Average Income", D815&lt;80000, "Low Income")</f>
        <v>Low Income</v>
      </c>
      <c r="P815">
        <f>IF(Table24[[#This Row],[Purchased Bike]]="Yes",1,0)</f>
        <v>0</v>
      </c>
    </row>
    <row r="816" spans="1:16" hidden="1" x14ac:dyDescent="0.25">
      <c r="A816">
        <v>13351</v>
      </c>
      <c r="B816" t="s">
        <v>35</v>
      </c>
      <c r="C816" t="s">
        <v>33</v>
      </c>
      <c r="D816" s="2">
        <v>70000</v>
      </c>
      <c r="E816">
        <v>4</v>
      </c>
      <c r="F816" t="s">
        <v>13</v>
      </c>
      <c r="G816" t="s">
        <v>28</v>
      </c>
      <c r="H816" t="s">
        <v>15</v>
      </c>
      <c r="I816">
        <v>2</v>
      </c>
      <c r="J816" t="s">
        <v>26</v>
      </c>
      <c r="K816" t="s">
        <v>32</v>
      </c>
      <c r="L816">
        <v>62</v>
      </c>
      <c r="M816" t="str" cm="1">
        <f t="array" ref="M816">_xlfn.IFS(
L816&gt;50,"Old Age",
L816&gt;=31,"Middle Age",
L816&lt;31,"Young Age"
)</f>
        <v>Old Age</v>
      </c>
      <c r="N816" t="s">
        <v>15</v>
      </c>
      <c r="O816" t="str" cm="1">
        <f t="array" ref="O816">_xlfn.IFS(D816&gt;120000, "High Income", D816&gt;=80000, "Average Income", D816&lt;80000, "Low Income")</f>
        <v>Low Income</v>
      </c>
      <c r="P816">
        <f>IF(Table24[[#This Row],[Purchased Bike]]="Yes",1,0)</f>
        <v>1</v>
      </c>
    </row>
    <row r="817" spans="1:16" hidden="1" x14ac:dyDescent="0.25">
      <c r="A817">
        <v>23333</v>
      </c>
      <c r="B817" t="s">
        <v>34</v>
      </c>
      <c r="C817" t="s">
        <v>34</v>
      </c>
      <c r="D817" s="2">
        <v>40000</v>
      </c>
      <c r="E817">
        <v>0</v>
      </c>
      <c r="F817" t="s">
        <v>19</v>
      </c>
      <c r="G817" t="s">
        <v>14</v>
      </c>
      <c r="H817" t="s">
        <v>18</v>
      </c>
      <c r="I817">
        <v>2</v>
      </c>
      <c r="J817" t="s">
        <v>26</v>
      </c>
      <c r="K817" t="s">
        <v>32</v>
      </c>
      <c r="L817">
        <v>30</v>
      </c>
      <c r="M817" t="str" cm="1">
        <f t="array" ref="M817">_xlfn.IFS(
L817&gt;50,"Old Age",
L817&gt;=31,"Middle Age",
L817&lt;31,"Young Age"
)</f>
        <v>Young Age</v>
      </c>
      <c r="N817" t="s">
        <v>18</v>
      </c>
      <c r="O817" t="str" cm="1">
        <f t="array" ref="O817">_xlfn.IFS(D817&gt;120000, "High Income", D817&gt;=80000, "Average Income", D817&lt;80000, "Low Income")</f>
        <v>Low Income</v>
      </c>
      <c r="P817">
        <f>IF(Table24[[#This Row],[Purchased Bike]]="Yes",1,0)</f>
        <v>0</v>
      </c>
    </row>
    <row r="818" spans="1:16" x14ac:dyDescent="0.25">
      <c r="A818">
        <v>21660</v>
      </c>
      <c r="B818" t="s">
        <v>34</v>
      </c>
      <c r="C818" t="s">
        <v>33</v>
      </c>
      <c r="D818" s="2">
        <v>60000</v>
      </c>
      <c r="E818">
        <v>3</v>
      </c>
      <c r="F818" t="s">
        <v>31</v>
      </c>
      <c r="G818" t="s">
        <v>21</v>
      </c>
      <c r="H818" t="s">
        <v>15</v>
      </c>
      <c r="I818">
        <v>0</v>
      </c>
      <c r="J818" t="s">
        <v>22</v>
      </c>
      <c r="K818" t="s">
        <v>32</v>
      </c>
      <c r="L818">
        <v>43</v>
      </c>
      <c r="M818" t="str" cm="1">
        <f t="array" ref="M818">_xlfn.IFS(
L818&gt;50,"Old Age",
L818&gt;=31,"Middle Age",
L818&lt;31,"Young Age"
)</f>
        <v>Middle Age</v>
      </c>
      <c r="N818" t="s">
        <v>15</v>
      </c>
      <c r="O818" t="str" cm="1">
        <f t="array" ref="O818">_xlfn.IFS(D818&gt;120000, "High Income", D818&gt;=80000, "Average Income", D818&lt;80000, "Low Income")</f>
        <v>Low Income</v>
      </c>
      <c r="P818">
        <f>IF(Table24[[#This Row],[Purchased Bike]]="Yes",1,0)</f>
        <v>1</v>
      </c>
    </row>
    <row r="819" spans="1:16" x14ac:dyDescent="0.25">
      <c r="A819">
        <v>17012</v>
      </c>
      <c r="B819" t="s">
        <v>34</v>
      </c>
      <c r="C819" t="s">
        <v>33</v>
      </c>
      <c r="D819" s="2">
        <v>60000</v>
      </c>
      <c r="E819">
        <v>3</v>
      </c>
      <c r="F819" t="s">
        <v>31</v>
      </c>
      <c r="G819" t="s">
        <v>21</v>
      </c>
      <c r="H819" t="s">
        <v>15</v>
      </c>
      <c r="I819">
        <v>0</v>
      </c>
      <c r="J819" t="s">
        <v>22</v>
      </c>
      <c r="K819" t="s">
        <v>32</v>
      </c>
      <c r="L819">
        <v>42</v>
      </c>
      <c r="M819" t="str" cm="1">
        <f t="array" ref="M819">_xlfn.IFS(
L819&gt;50,"Old Age",
L819&gt;=31,"Middle Age",
L819&lt;31,"Young Age"
)</f>
        <v>Middle Age</v>
      </c>
      <c r="N819" t="s">
        <v>15</v>
      </c>
      <c r="O819" t="str" cm="1">
        <f t="array" ref="O819">_xlfn.IFS(D819&gt;120000, "High Income", D819&gt;=80000, "Average Income", D819&lt;80000, "Low Income")</f>
        <v>Low Income</v>
      </c>
      <c r="P819">
        <f>IF(Table24[[#This Row],[Purchased Bike]]="Yes",1,0)</f>
        <v>1</v>
      </c>
    </row>
    <row r="820" spans="1:16" hidden="1" x14ac:dyDescent="0.25">
      <c r="A820">
        <v>24514</v>
      </c>
      <c r="B820" t="s">
        <v>34</v>
      </c>
      <c r="C820" t="s">
        <v>34</v>
      </c>
      <c r="D820" s="2">
        <v>40000</v>
      </c>
      <c r="E820">
        <v>0</v>
      </c>
      <c r="F820" t="s">
        <v>19</v>
      </c>
      <c r="G820" t="s">
        <v>14</v>
      </c>
      <c r="H820" t="s">
        <v>15</v>
      </c>
      <c r="I820">
        <v>1</v>
      </c>
      <c r="J820" t="s">
        <v>23</v>
      </c>
      <c r="K820" t="s">
        <v>32</v>
      </c>
      <c r="L820">
        <v>30</v>
      </c>
      <c r="M820" t="str" cm="1">
        <f t="array" ref="M820">_xlfn.IFS(
L820&gt;50,"Old Age",
L820&gt;=31,"Middle Age",
L820&lt;31,"Young Age"
)</f>
        <v>Young Age</v>
      </c>
      <c r="N820" t="s">
        <v>18</v>
      </c>
      <c r="O820" t="str" cm="1">
        <f t="array" ref="O820">_xlfn.IFS(D820&gt;120000, "High Income", D820&gt;=80000, "Average Income", D820&lt;80000, "Low Income")</f>
        <v>Low Income</v>
      </c>
      <c r="P820">
        <f>IF(Table24[[#This Row],[Purchased Bike]]="Yes",1,0)</f>
        <v>0</v>
      </c>
    </row>
    <row r="821" spans="1:16" hidden="1" x14ac:dyDescent="0.25">
      <c r="A821">
        <v>27505</v>
      </c>
      <c r="B821" t="s">
        <v>35</v>
      </c>
      <c r="C821" t="s">
        <v>33</v>
      </c>
      <c r="D821" s="2">
        <v>40000</v>
      </c>
      <c r="E821">
        <v>0</v>
      </c>
      <c r="F821" t="s">
        <v>27</v>
      </c>
      <c r="G821" t="s">
        <v>14</v>
      </c>
      <c r="H821" t="s">
        <v>15</v>
      </c>
      <c r="I821">
        <v>2</v>
      </c>
      <c r="J821" t="s">
        <v>23</v>
      </c>
      <c r="K821" t="s">
        <v>32</v>
      </c>
      <c r="L821">
        <v>30</v>
      </c>
      <c r="M821" t="str" cm="1">
        <f t="array" ref="M821">_xlfn.IFS(
L821&gt;50,"Old Age",
L821&gt;=31,"Middle Age",
L821&lt;31,"Young Age"
)</f>
        <v>Young Age</v>
      </c>
      <c r="N821" t="s">
        <v>18</v>
      </c>
      <c r="O821" t="str" cm="1">
        <f t="array" ref="O821">_xlfn.IFS(D821&gt;120000, "High Income", D821&gt;=80000, "Average Income", D821&lt;80000, "Low Income")</f>
        <v>Low Income</v>
      </c>
      <c r="P821">
        <f>IF(Table24[[#This Row],[Purchased Bike]]="Yes",1,0)</f>
        <v>0</v>
      </c>
    </row>
    <row r="822" spans="1:16" hidden="1" x14ac:dyDescent="0.25">
      <c r="A822">
        <v>29243</v>
      </c>
      <c r="B822" t="s">
        <v>35</v>
      </c>
      <c r="C822" t="s">
        <v>34</v>
      </c>
      <c r="D822" s="2">
        <v>110000</v>
      </c>
      <c r="E822">
        <v>1</v>
      </c>
      <c r="F822" t="s">
        <v>13</v>
      </c>
      <c r="G822" t="s">
        <v>28</v>
      </c>
      <c r="H822" t="s">
        <v>15</v>
      </c>
      <c r="I822">
        <v>1</v>
      </c>
      <c r="J822" t="s">
        <v>23</v>
      </c>
      <c r="K822" t="s">
        <v>32</v>
      </c>
      <c r="L822">
        <v>43</v>
      </c>
      <c r="M822" t="str" cm="1">
        <f t="array" ref="M822">_xlfn.IFS(
L822&gt;50,"Old Age",
L822&gt;=31,"Middle Age",
L822&lt;31,"Young Age"
)</f>
        <v>Middle Age</v>
      </c>
      <c r="N822" t="s">
        <v>18</v>
      </c>
      <c r="O822" t="str" cm="1">
        <f t="array" ref="O822">_xlfn.IFS(D822&gt;120000, "High Income", D822&gt;=80000, "Average Income", D822&lt;80000, "Low Income")</f>
        <v>Average Income</v>
      </c>
      <c r="P822">
        <f>IF(Table24[[#This Row],[Purchased Bike]]="Yes",1,0)</f>
        <v>0</v>
      </c>
    </row>
    <row r="823" spans="1:16" x14ac:dyDescent="0.25">
      <c r="A823">
        <v>26582</v>
      </c>
      <c r="B823" t="s">
        <v>34</v>
      </c>
      <c r="C823" t="s">
        <v>34</v>
      </c>
      <c r="D823" s="2">
        <v>60000</v>
      </c>
      <c r="E823">
        <v>0</v>
      </c>
      <c r="F823" t="s">
        <v>19</v>
      </c>
      <c r="G823" t="s">
        <v>14</v>
      </c>
      <c r="H823" t="s">
        <v>15</v>
      </c>
      <c r="I823">
        <v>2</v>
      </c>
      <c r="J823" t="s">
        <v>23</v>
      </c>
      <c r="K823" t="s">
        <v>32</v>
      </c>
      <c r="L823">
        <v>33</v>
      </c>
      <c r="M823" t="str" cm="1">
        <f t="array" ref="M823">_xlfn.IFS(
L823&gt;50,"Old Age",
L823&gt;=31,"Middle Age",
L823&lt;31,"Young Age"
)</f>
        <v>Middle Age</v>
      </c>
      <c r="N823" t="s">
        <v>15</v>
      </c>
      <c r="O823" t="str" cm="1">
        <f t="array" ref="O823">_xlfn.IFS(D823&gt;120000, "High Income", D823&gt;=80000, "Average Income", D823&lt;80000, "Low Income")</f>
        <v>Low Income</v>
      </c>
      <c r="P823">
        <f>IF(Table24[[#This Row],[Purchased Bike]]="Yes",1,0)</f>
        <v>1</v>
      </c>
    </row>
    <row r="824" spans="1:16" hidden="1" x14ac:dyDescent="0.25">
      <c r="A824">
        <v>14271</v>
      </c>
      <c r="B824" t="s">
        <v>34</v>
      </c>
      <c r="C824" t="s">
        <v>34</v>
      </c>
      <c r="D824" s="2">
        <v>30000</v>
      </c>
      <c r="E824">
        <v>0</v>
      </c>
      <c r="F824" t="s">
        <v>27</v>
      </c>
      <c r="G824" t="s">
        <v>14</v>
      </c>
      <c r="H824" t="s">
        <v>15</v>
      </c>
      <c r="I824">
        <v>2</v>
      </c>
      <c r="J824" t="s">
        <v>23</v>
      </c>
      <c r="K824" t="s">
        <v>32</v>
      </c>
      <c r="L824">
        <v>32</v>
      </c>
      <c r="M824" t="str" cm="1">
        <f t="array" ref="M824">_xlfn.IFS(
L824&gt;50,"Old Age",
L824&gt;=31,"Middle Age",
L824&lt;31,"Young Age"
)</f>
        <v>Middle Age</v>
      </c>
      <c r="N824" t="s">
        <v>18</v>
      </c>
      <c r="O824" t="str" cm="1">
        <f t="array" ref="O824">_xlfn.IFS(D824&gt;120000, "High Income", D824&gt;=80000, "Average Income", D824&lt;80000, "Low Income")</f>
        <v>Low Income</v>
      </c>
      <c r="P824">
        <f>IF(Table24[[#This Row],[Purchased Bike]]="Yes",1,0)</f>
        <v>0</v>
      </c>
    </row>
    <row r="825" spans="1:16" x14ac:dyDescent="0.25">
      <c r="A825">
        <v>23041</v>
      </c>
      <c r="B825" t="s">
        <v>35</v>
      </c>
      <c r="C825" t="s">
        <v>33</v>
      </c>
      <c r="D825" s="2">
        <v>70000</v>
      </c>
      <c r="E825">
        <v>4</v>
      </c>
      <c r="F825" t="s">
        <v>27</v>
      </c>
      <c r="G825" t="s">
        <v>21</v>
      </c>
      <c r="H825" t="s">
        <v>15</v>
      </c>
      <c r="I825">
        <v>0</v>
      </c>
      <c r="J825" t="s">
        <v>23</v>
      </c>
      <c r="K825" t="s">
        <v>32</v>
      </c>
      <c r="L825">
        <v>50</v>
      </c>
      <c r="M825" t="str" cm="1">
        <f t="array" ref="M825">_xlfn.IFS(
L825&gt;50,"Old Age",
L825&gt;=31,"Middle Age",
L825&lt;31,"Young Age"
)</f>
        <v>Middle Age</v>
      </c>
      <c r="N825" t="s">
        <v>15</v>
      </c>
      <c r="O825" t="str" cm="1">
        <f t="array" ref="O825">_xlfn.IFS(D825&gt;120000, "High Income", D825&gt;=80000, "Average Income", D825&lt;80000, "Low Income")</f>
        <v>Low Income</v>
      </c>
      <c r="P825">
        <f>IF(Table24[[#This Row],[Purchased Bike]]="Yes",1,0)</f>
        <v>1</v>
      </c>
    </row>
    <row r="826" spans="1:16" x14ac:dyDescent="0.25">
      <c r="A826">
        <v>29048</v>
      </c>
      <c r="B826" t="s">
        <v>35</v>
      </c>
      <c r="C826" t="s">
        <v>34</v>
      </c>
      <c r="D826" s="2">
        <v>110000</v>
      </c>
      <c r="E826">
        <v>2</v>
      </c>
      <c r="F826" t="s">
        <v>13</v>
      </c>
      <c r="G826" t="s">
        <v>28</v>
      </c>
      <c r="H826" t="s">
        <v>18</v>
      </c>
      <c r="I826">
        <v>3</v>
      </c>
      <c r="J826" t="s">
        <v>16</v>
      </c>
      <c r="K826" t="s">
        <v>32</v>
      </c>
      <c r="L826">
        <v>37</v>
      </c>
      <c r="M826" t="str" cm="1">
        <f t="array" ref="M826">_xlfn.IFS(
L826&gt;50,"Old Age",
L826&gt;=31,"Middle Age",
L826&lt;31,"Young Age"
)</f>
        <v>Middle Age</v>
      </c>
      <c r="N826" t="s">
        <v>15</v>
      </c>
      <c r="O826" t="str" cm="1">
        <f t="array" ref="O826">_xlfn.IFS(D826&gt;120000, "High Income", D826&gt;=80000, "Average Income", D826&lt;80000, "Low Income")</f>
        <v>Average Income</v>
      </c>
      <c r="P826">
        <f>IF(Table24[[#This Row],[Purchased Bike]]="Yes",1,0)</f>
        <v>1</v>
      </c>
    </row>
    <row r="827" spans="1:16" hidden="1" x14ac:dyDescent="0.25">
      <c r="A827">
        <v>24433</v>
      </c>
      <c r="B827" t="s">
        <v>34</v>
      </c>
      <c r="C827" t="s">
        <v>34</v>
      </c>
      <c r="D827" s="2">
        <v>70000</v>
      </c>
      <c r="E827">
        <v>3</v>
      </c>
      <c r="F827" t="s">
        <v>27</v>
      </c>
      <c r="G827" t="s">
        <v>21</v>
      </c>
      <c r="H827" t="s">
        <v>18</v>
      </c>
      <c r="I827">
        <v>1</v>
      </c>
      <c r="J827" t="s">
        <v>26</v>
      </c>
      <c r="K827" t="s">
        <v>32</v>
      </c>
      <c r="L827">
        <v>52</v>
      </c>
      <c r="M827" t="str" cm="1">
        <f t="array" ref="M827">_xlfn.IFS(
L827&gt;50,"Old Age",
L827&gt;=31,"Middle Age",
L827&lt;31,"Young Age"
)</f>
        <v>Old Age</v>
      </c>
      <c r="N827" t="s">
        <v>15</v>
      </c>
      <c r="O827" t="str" cm="1">
        <f t="array" ref="O827">_xlfn.IFS(D827&gt;120000, "High Income", D827&gt;=80000, "Average Income", D827&lt;80000, "Low Income")</f>
        <v>Low Income</v>
      </c>
      <c r="P827">
        <f>IF(Table24[[#This Row],[Purchased Bike]]="Yes",1,0)</f>
        <v>1</v>
      </c>
    </row>
    <row r="828" spans="1:16" x14ac:dyDescent="0.25">
      <c r="A828">
        <v>15501</v>
      </c>
      <c r="B828" t="s">
        <v>34</v>
      </c>
      <c r="C828" t="s">
        <v>34</v>
      </c>
      <c r="D828" s="2">
        <v>70000</v>
      </c>
      <c r="E828">
        <v>4</v>
      </c>
      <c r="F828" t="s">
        <v>31</v>
      </c>
      <c r="G828" t="s">
        <v>21</v>
      </c>
      <c r="H828" t="s">
        <v>15</v>
      </c>
      <c r="I828">
        <v>0</v>
      </c>
      <c r="J828" t="s">
        <v>22</v>
      </c>
      <c r="K828" t="s">
        <v>32</v>
      </c>
      <c r="L828">
        <v>36</v>
      </c>
      <c r="M828" t="str" cm="1">
        <f t="array" ref="M828">_xlfn.IFS(
L828&gt;50,"Old Age",
L828&gt;=31,"Middle Age",
L828&lt;31,"Young Age"
)</f>
        <v>Middle Age</v>
      </c>
      <c r="N828" t="s">
        <v>15</v>
      </c>
      <c r="O828" t="str" cm="1">
        <f t="array" ref="O828">_xlfn.IFS(D828&gt;120000, "High Income", D828&gt;=80000, "Average Income", D828&lt;80000, "Low Income")</f>
        <v>Low Income</v>
      </c>
      <c r="P828">
        <f>IF(Table24[[#This Row],[Purchased Bike]]="Yes",1,0)</f>
        <v>1</v>
      </c>
    </row>
    <row r="829" spans="1:16" x14ac:dyDescent="0.25">
      <c r="A829">
        <v>13911</v>
      </c>
      <c r="B829" t="s">
        <v>35</v>
      </c>
      <c r="C829" t="s">
        <v>33</v>
      </c>
      <c r="D829" s="2">
        <v>80000</v>
      </c>
      <c r="E829">
        <v>3</v>
      </c>
      <c r="F829" t="s">
        <v>13</v>
      </c>
      <c r="G829" t="s">
        <v>14</v>
      </c>
      <c r="H829" t="s">
        <v>15</v>
      </c>
      <c r="I829">
        <v>2</v>
      </c>
      <c r="J829" t="s">
        <v>22</v>
      </c>
      <c r="K829" t="s">
        <v>32</v>
      </c>
      <c r="L829">
        <v>41</v>
      </c>
      <c r="M829" t="str" cm="1">
        <f t="array" ref="M829">_xlfn.IFS(
L829&gt;50,"Old Age",
L829&gt;=31,"Middle Age",
L829&lt;31,"Young Age"
)</f>
        <v>Middle Age</v>
      </c>
      <c r="N829" t="s">
        <v>15</v>
      </c>
      <c r="O829" t="str" cm="1">
        <f t="array" ref="O829">_xlfn.IFS(D829&gt;120000, "High Income", D829&gt;=80000, "Average Income", D829&lt;80000, "Low Income")</f>
        <v>Average Income</v>
      </c>
      <c r="P829">
        <f>IF(Table24[[#This Row],[Purchased Bike]]="Yes",1,0)</f>
        <v>1</v>
      </c>
    </row>
    <row r="830" spans="1:16" hidden="1" x14ac:dyDescent="0.25">
      <c r="A830">
        <v>20421</v>
      </c>
      <c r="B830" t="s">
        <v>35</v>
      </c>
      <c r="C830" t="s">
        <v>33</v>
      </c>
      <c r="D830" s="2">
        <v>40000</v>
      </c>
      <c r="E830">
        <v>0</v>
      </c>
      <c r="F830" t="s">
        <v>29</v>
      </c>
      <c r="G830" t="s">
        <v>20</v>
      </c>
      <c r="H830" t="s">
        <v>15</v>
      </c>
      <c r="I830">
        <v>2</v>
      </c>
      <c r="J830" t="s">
        <v>23</v>
      </c>
      <c r="K830" t="s">
        <v>32</v>
      </c>
      <c r="L830">
        <v>26</v>
      </c>
      <c r="M830" t="str" cm="1">
        <f t="array" ref="M830">_xlfn.IFS(
L830&gt;50,"Old Age",
L830&gt;=31,"Middle Age",
L830&lt;31,"Young Age"
)</f>
        <v>Young Age</v>
      </c>
      <c r="N830" t="s">
        <v>18</v>
      </c>
      <c r="O830" t="str" cm="1">
        <f t="array" ref="O830">_xlfn.IFS(D830&gt;120000, "High Income", D830&gt;=80000, "Average Income", D830&lt;80000, "Low Income")</f>
        <v>Low Income</v>
      </c>
      <c r="P830">
        <f>IF(Table24[[#This Row],[Purchased Bike]]="Yes",1,0)</f>
        <v>0</v>
      </c>
    </row>
    <row r="831" spans="1:16" hidden="1" x14ac:dyDescent="0.25">
      <c r="A831">
        <v>16009</v>
      </c>
      <c r="B831" t="s">
        <v>35</v>
      </c>
      <c r="C831" t="s">
        <v>34</v>
      </c>
      <c r="D831" s="2">
        <v>170000</v>
      </c>
      <c r="E831">
        <v>1</v>
      </c>
      <c r="F831" t="s">
        <v>31</v>
      </c>
      <c r="G831" t="s">
        <v>28</v>
      </c>
      <c r="H831" t="s">
        <v>18</v>
      </c>
      <c r="I831">
        <v>4</v>
      </c>
      <c r="J831" t="s">
        <v>16</v>
      </c>
      <c r="K831" t="s">
        <v>32</v>
      </c>
      <c r="L831">
        <v>66</v>
      </c>
      <c r="M831" t="str" cm="1">
        <f t="array" ref="M831">_xlfn.IFS(
L831&gt;50,"Old Age",
L831&gt;=31,"Middle Age",
L831&lt;31,"Young Age"
)</f>
        <v>Old Age</v>
      </c>
      <c r="N831" t="s">
        <v>18</v>
      </c>
      <c r="O831" t="str" cm="1">
        <f t="array" ref="O831">_xlfn.IFS(D831&gt;120000, "High Income", D831&gt;=80000, "Average Income", D831&lt;80000, "Low Income")</f>
        <v>High Income</v>
      </c>
      <c r="P831">
        <f>IF(Table24[[#This Row],[Purchased Bike]]="Yes",1,0)</f>
        <v>0</v>
      </c>
    </row>
    <row r="832" spans="1:16" hidden="1" x14ac:dyDescent="0.25">
      <c r="A832">
        <v>18411</v>
      </c>
      <c r="B832" t="s">
        <v>34</v>
      </c>
      <c r="C832" t="s">
        <v>34</v>
      </c>
      <c r="D832" s="2">
        <v>60000</v>
      </c>
      <c r="E832">
        <v>2</v>
      </c>
      <c r="F832" t="s">
        <v>27</v>
      </c>
      <c r="G832" t="s">
        <v>21</v>
      </c>
      <c r="H832" t="s">
        <v>18</v>
      </c>
      <c r="I832">
        <v>2</v>
      </c>
      <c r="J832" t="s">
        <v>23</v>
      </c>
      <c r="K832" t="s">
        <v>32</v>
      </c>
      <c r="L832">
        <v>51</v>
      </c>
      <c r="M832" t="str" cm="1">
        <f t="array" ref="M832">_xlfn.IFS(
L832&gt;50,"Old Age",
L832&gt;=31,"Middle Age",
L832&lt;31,"Young Age"
)</f>
        <v>Old Age</v>
      </c>
      <c r="N832" t="s">
        <v>18</v>
      </c>
      <c r="O832" t="str" cm="1">
        <f t="array" ref="O832">_xlfn.IFS(D832&gt;120000, "High Income", D832&gt;=80000, "Average Income", D832&lt;80000, "Low Income")</f>
        <v>Low Income</v>
      </c>
      <c r="P832">
        <f>IF(Table24[[#This Row],[Purchased Bike]]="Yes",1,0)</f>
        <v>0</v>
      </c>
    </row>
    <row r="833" spans="1:16" x14ac:dyDescent="0.25">
      <c r="A833">
        <v>19163</v>
      </c>
      <c r="B833" t="s">
        <v>34</v>
      </c>
      <c r="C833" t="s">
        <v>33</v>
      </c>
      <c r="D833" s="2">
        <v>70000</v>
      </c>
      <c r="E833">
        <v>4</v>
      </c>
      <c r="F833" t="s">
        <v>13</v>
      </c>
      <c r="G833" t="s">
        <v>21</v>
      </c>
      <c r="H833" t="s">
        <v>15</v>
      </c>
      <c r="I833">
        <v>2</v>
      </c>
      <c r="J833" t="s">
        <v>16</v>
      </c>
      <c r="K833" t="s">
        <v>32</v>
      </c>
      <c r="L833">
        <v>43</v>
      </c>
      <c r="M833" t="str" cm="1">
        <f t="array" ref="M833">_xlfn.IFS(
L833&gt;50,"Old Age",
L833&gt;=31,"Middle Age",
L833&lt;31,"Young Age"
)</f>
        <v>Middle Age</v>
      </c>
      <c r="N833" t="s">
        <v>15</v>
      </c>
      <c r="O833" t="str" cm="1">
        <f t="array" ref="O833">_xlfn.IFS(D833&gt;120000, "High Income", D833&gt;=80000, "Average Income", D833&lt;80000, "Low Income")</f>
        <v>Low Income</v>
      </c>
      <c r="P833">
        <f>IF(Table24[[#This Row],[Purchased Bike]]="Yes",1,0)</f>
        <v>1</v>
      </c>
    </row>
    <row r="834" spans="1:16" hidden="1" x14ac:dyDescent="0.25">
      <c r="A834">
        <v>18572</v>
      </c>
      <c r="B834" t="s">
        <v>34</v>
      </c>
      <c r="C834" t="s">
        <v>33</v>
      </c>
      <c r="D834" s="2">
        <v>60000</v>
      </c>
      <c r="E834">
        <v>0</v>
      </c>
      <c r="F834" t="s">
        <v>31</v>
      </c>
      <c r="G834" t="s">
        <v>21</v>
      </c>
      <c r="H834" t="s">
        <v>15</v>
      </c>
      <c r="I834">
        <v>0</v>
      </c>
      <c r="J834" t="s">
        <v>16</v>
      </c>
      <c r="K834" t="s">
        <v>32</v>
      </c>
      <c r="L834">
        <v>39</v>
      </c>
      <c r="M834" t="str" cm="1">
        <f t="array" ref="M834">_xlfn.IFS(
L834&gt;50,"Old Age",
L834&gt;=31,"Middle Age",
L834&lt;31,"Young Age"
)</f>
        <v>Middle Age</v>
      </c>
      <c r="N834" t="s">
        <v>18</v>
      </c>
      <c r="O834" t="str" cm="1">
        <f t="array" ref="O834">_xlfn.IFS(D834&gt;120000, "High Income", D834&gt;=80000, "Average Income", D834&lt;80000, "Low Income")</f>
        <v>Low Income</v>
      </c>
      <c r="P834">
        <f>IF(Table24[[#This Row],[Purchased Bike]]="Yes",1,0)</f>
        <v>0</v>
      </c>
    </row>
    <row r="835" spans="1:16" x14ac:dyDescent="0.25">
      <c r="A835">
        <v>27540</v>
      </c>
      <c r="B835" t="s">
        <v>35</v>
      </c>
      <c r="C835" t="s">
        <v>33</v>
      </c>
      <c r="D835" s="2">
        <v>70000</v>
      </c>
      <c r="E835">
        <v>0</v>
      </c>
      <c r="F835" t="s">
        <v>13</v>
      </c>
      <c r="G835" t="s">
        <v>21</v>
      </c>
      <c r="H835" t="s">
        <v>18</v>
      </c>
      <c r="I835">
        <v>1</v>
      </c>
      <c r="J835" t="s">
        <v>16</v>
      </c>
      <c r="K835" t="s">
        <v>32</v>
      </c>
      <c r="L835">
        <v>37</v>
      </c>
      <c r="M835" t="str" cm="1">
        <f t="array" ref="M835">_xlfn.IFS(
L835&gt;50,"Old Age",
L835&gt;=31,"Middle Age",
L835&lt;31,"Young Age"
)</f>
        <v>Middle Age</v>
      </c>
      <c r="N835" t="s">
        <v>15</v>
      </c>
      <c r="O835" t="str" cm="1">
        <f t="array" ref="O835">_xlfn.IFS(D835&gt;120000, "High Income", D835&gt;=80000, "Average Income", D835&lt;80000, "Low Income")</f>
        <v>Low Income</v>
      </c>
      <c r="P835">
        <f>IF(Table24[[#This Row],[Purchased Bike]]="Yes",1,0)</f>
        <v>1</v>
      </c>
    </row>
    <row r="836" spans="1:16" hidden="1" x14ac:dyDescent="0.25">
      <c r="A836">
        <v>19889</v>
      </c>
      <c r="B836" t="s">
        <v>35</v>
      </c>
      <c r="C836" t="s">
        <v>33</v>
      </c>
      <c r="D836" s="2">
        <v>70000</v>
      </c>
      <c r="E836">
        <v>2</v>
      </c>
      <c r="F836" t="s">
        <v>29</v>
      </c>
      <c r="G836" t="s">
        <v>14</v>
      </c>
      <c r="H836" t="s">
        <v>18</v>
      </c>
      <c r="I836">
        <v>2</v>
      </c>
      <c r="J836" t="s">
        <v>22</v>
      </c>
      <c r="K836" t="s">
        <v>32</v>
      </c>
      <c r="L836">
        <v>54</v>
      </c>
      <c r="M836" t="str" cm="1">
        <f t="array" ref="M836">_xlfn.IFS(
L836&gt;50,"Old Age",
L836&gt;=31,"Middle Age",
L836&lt;31,"Young Age"
)</f>
        <v>Old Age</v>
      </c>
      <c r="N836" t="s">
        <v>15</v>
      </c>
      <c r="O836" t="str" cm="1">
        <f t="array" ref="O836">_xlfn.IFS(D836&gt;120000, "High Income", D836&gt;=80000, "Average Income", D836&lt;80000, "Low Income")</f>
        <v>Low Income</v>
      </c>
      <c r="P836">
        <f>IF(Table24[[#This Row],[Purchased Bike]]="Yes",1,0)</f>
        <v>1</v>
      </c>
    </row>
    <row r="837" spans="1:16" x14ac:dyDescent="0.25">
      <c r="A837">
        <v>12922</v>
      </c>
      <c r="B837" t="s">
        <v>35</v>
      </c>
      <c r="C837" t="s">
        <v>33</v>
      </c>
      <c r="D837" s="2">
        <v>60000</v>
      </c>
      <c r="E837">
        <v>3</v>
      </c>
      <c r="F837" t="s">
        <v>13</v>
      </c>
      <c r="G837" t="s">
        <v>14</v>
      </c>
      <c r="H837" t="s">
        <v>15</v>
      </c>
      <c r="I837">
        <v>0</v>
      </c>
      <c r="J837" t="s">
        <v>22</v>
      </c>
      <c r="K837" t="s">
        <v>32</v>
      </c>
      <c r="L837">
        <v>40</v>
      </c>
      <c r="M837" t="str" cm="1">
        <f t="array" ref="M837">_xlfn.IFS(
L837&gt;50,"Old Age",
L837&gt;=31,"Middle Age",
L837&lt;31,"Young Age"
)</f>
        <v>Middle Age</v>
      </c>
      <c r="N837" t="s">
        <v>15</v>
      </c>
      <c r="O837" t="str" cm="1">
        <f t="array" ref="O837">_xlfn.IFS(D837&gt;120000, "High Income", D837&gt;=80000, "Average Income", D837&lt;80000, "Low Income")</f>
        <v>Low Income</v>
      </c>
      <c r="P837">
        <f>IF(Table24[[#This Row],[Purchased Bike]]="Yes",1,0)</f>
        <v>1</v>
      </c>
    </row>
    <row r="838" spans="1:16" hidden="1" x14ac:dyDescent="0.25">
      <c r="A838">
        <v>18891</v>
      </c>
      <c r="B838" t="s">
        <v>34</v>
      </c>
      <c r="C838" t="s">
        <v>33</v>
      </c>
      <c r="D838" s="2">
        <v>40000</v>
      </c>
      <c r="E838">
        <v>0</v>
      </c>
      <c r="F838" t="s">
        <v>19</v>
      </c>
      <c r="G838" t="s">
        <v>14</v>
      </c>
      <c r="H838" t="s">
        <v>15</v>
      </c>
      <c r="I838">
        <v>2</v>
      </c>
      <c r="J838" t="s">
        <v>23</v>
      </c>
      <c r="K838" t="s">
        <v>32</v>
      </c>
      <c r="L838">
        <v>28</v>
      </c>
      <c r="M838" t="str" cm="1">
        <f t="array" ref="M838">_xlfn.IFS(
L838&gt;50,"Old Age",
L838&gt;=31,"Middle Age",
L838&lt;31,"Young Age"
)</f>
        <v>Young Age</v>
      </c>
      <c r="N838" t="s">
        <v>18</v>
      </c>
      <c r="O838" t="str" cm="1">
        <f t="array" ref="O838">_xlfn.IFS(D838&gt;120000, "High Income", D838&gt;=80000, "Average Income", D838&lt;80000, "Low Income")</f>
        <v>Low Income</v>
      </c>
      <c r="P838">
        <f>IF(Table24[[#This Row],[Purchased Bike]]="Yes",1,0)</f>
        <v>0</v>
      </c>
    </row>
    <row r="839" spans="1:16" hidden="1" x14ac:dyDescent="0.25">
      <c r="A839">
        <v>16773</v>
      </c>
      <c r="B839" t="s">
        <v>34</v>
      </c>
      <c r="C839" t="s">
        <v>34</v>
      </c>
      <c r="D839" s="2">
        <v>60000</v>
      </c>
      <c r="E839">
        <v>1</v>
      </c>
      <c r="F839" t="s">
        <v>31</v>
      </c>
      <c r="G839" t="s">
        <v>14</v>
      </c>
      <c r="H839" t="s">
        <v>15</v>
      </c>
      <c r="I839">
        <v>0</v>
      </c>
      <c r="J839" t="s">
        <v>16</v>
      </c>
      <c r="K839" t="s">
        <v>32</v>
      </c>
      <c r="L839">
        <v>33</v>
      </c>
      <c r="M839" t="str" cm="1">
        <f t="array" ref="M839">_xlfn.IFS(
L839&gt;50,"Old Age",
L839&gt;=31,"Middle Age",
L839&lt;31,"Young Age"
)</f>
        <v>Middle Age</v>
      </c>
      <c r="N839" t="s">
        <v>18</v>
      </c>
      <c r="O839" t="str" cm="1">
        <f t="array" ref="O839">_xlfn.IFS(D839&gt;120000, "High Income", D839&gt;=80000, "Average Income", D839&lt;80000, "Low Income")</f>
        <v>Low Income</v>
      </c>
      <c r="P839">
        <f>IF(Table24[[#This Row],[Purchased Bike]]="Yes",1,0)</f>
        <v>0</v>
      </c>
    </row>
    <row r="840" spans="1:16" x14ac:dyDescent="0.25">
      <c r="A840">
        <v>19143</v>
      </c>
      <c r="B840" t="s">
        <v>35</v>
      </c>
      <c r="C840" t="s">
        <v>33</v>
      </c>
      <c r="D840" s="2">
        <v>80000</v>
      </c>
      <c r="E840">
        <v>3</v>
      </c>
      <c r="F840" t="s">
        <v>13</v>
      </c>
      <c r="G840" t="s">
        <v>14</v>
      </c>
      <c r="H840" t="s">
        <v>15</v>
      </c>
      <c r="I840">
        <v>2</v>
      </c>
      <c r="J840" t="s">
        <v>22</v>
      </c>
      <c r="K840" t="s">
        <v>32</v>
      </c>
      <c r="L840">
        <v>41</v>
      </c>
      <c r="M840" t="str" cm="1">
        <f t="array" ref="M840">_xlfn.IFS(
L840&gt;50,"Old Age",
L840&gt;=31,"Middle Age",
L840&lt;31,"Young Age"
)</f>
        <v>Middle Age</v>
      </c>
      <c r="N840" t="s">
        <v>15</v>
      </c>
      <c r="O840" t="str" cm="1">
        <f t="array" ref="O840">_xlfn.IFS(D840&gt;120000, "High Income", D840&gt;=80000, "Average Income", D840&lt;80000, "Low Income")</f>
        <v>Average Income</v>
      </c>
      <c r="P840">
        <f>IF(Table24[[#This Row],[Purchased Bike]]="Yes",1,0)</f>
        <v>1</v>
      </c>
    </row>
    <row r="841" spans="1:16" x14ac:dyDescent="0.25">
      <c r="A841">
        <v>23882</v>
      </c>
      <c r="B841" t="s">
        <v>35</v>
      </c>
      <c r="C841" t="s">
        <v>33</v>
      </c>
      <c r="D841" s="2">
        <v>80000</v>
      </c>
      <c r="E841">
        <v>3</v>
      </c>
      <c r="F841" t="s">
        <v>31</v>
      </c>
      <c r="G841" t="s">
        <v>21</v>
      </c>
      <c r="H841" t="s">
        <v>15</v>
      </c>
      <c r="I841">
        <v>0</v>
      </c>
      <c r="J841" t="s">
        <v>16</v>
      </c>
      <c r="K841" t="s">
        <v>32</v>
      </c>
      <c r="L841">
        <v>37</v>
      </c>
      <c r="M841" t="str" cm="1">
        <f t="array" ref="M841">_xlfn.IFS(
L841&gt;50,"Old Age",
L841&gt;=31,"Middle Age",
L841&lt;31,"Young Age"
)</f>
        <v>Middle Age</v>
      </c>
      <c r="N841" t="s">
        <v>15</v>
      </c>
      <c r="O841" t="str" cm="1">
        <f t="array" ref="O841">_xlfn.IFS(D841&gt;120000, "High Income", D841&gt;=80000, "Average Income", D841&lt;80000, "Low Income")</f>
        <v>Average Income</v>
      </c>
      <c r="P841">
        <f>IF(Table24[[#This Row],[Purchased Bike]]="Yes",1,0)</f>
        <v>1</v>
      </c>
    </row>
    <row r="842" spans="1:16" hidden="1" x14ac:dyDescent="0.25">
      <c r="A842">
        <v>11233</v>
      </c>
      <c r="B842" t="s">
        <v>34</v>
      </c>
      <c r="C842" t="s">
        <v>34</v>
      </c>
      <c r="D842" s="2">
        <v>70000</v>
      </c>
      <c r="E842">
        <v>4</v>
      </c>
      <c r="F842" t="s">
        <v>19</v>
      </c>
      <c r="G842" t="s">
        <v>21</v>
      </c>
      <c r="H842" t="s">
        <v>15</v>
      </c>
      <c r="I842">
        <v>2</v>
      </c>
      <c r="J842" t="s">
        <v>30</v>
      </c>
      <c r="K842" t="s">
        <v>32</v>
      </c>
      <c r="L842">
        <v>53</v>
      </c>
      <c r="M842" t="str" cm="1">
        <f t="array" ref="M842">_xlfn.IFS(
L842&gt;50,"Old Age",
L842&gt;=31,"Middle Age",
L842&lt;31,"Young Age"
)</f>
        <v>Old Age</v>
      </c>
      <c r="N842" t="s">
        <v>18</v>
      </c>
      <c r="O842" t="str" cm="1">
        <f t="array" ref="O842">_xlfn.IFS(D842&gt;120000, "High Income", D842&gt;=80000, "Average Income", D842&lt;80000, "Low Income")</f>
        <v>Low Income</v>
      </c>
      <c r="P842">
        <f>IF(Table24[[#This Row],[Purchased Bike]]="Yes",1,0)</f>
        <v>0</v>
      </c>
    </row>
    <row r="843" spans="1:16" hidden="1" x14ac:dyDescent="0.25">
      <c r="A843">
        <v>12056</v>
      </c>
      <c r="B843" t="s">
        <v>34</v>
      </c>
      <c r="C843" t="s">
        <v>34</v>
      </c>
      <c r="D843" s="2">
        <v>120000</v>
      </c>
      <c r="E843">
        <v>2</v>
      </c>
      <c r="F843" t="s">
        <v>31</v>
      </c>
      <c r="G843" t="s">
        <v>28</v>
      </c>
      <c r="H843" t="s">
        <v>15</v>
      </c>
      <c r="I843">
        <v>3</v>
      </c>
      <c r="J843" t="s">
        <v>23</v>
      </c>
      <c r="K843" t="s">
        <v>32</v>
      </c>
      <c r="L843">
        <v>64</v>
      </c>
      <c r="M843" t="str" cm="1">
        <f t="array" ref="M843">_xlfn.IFS(
L843&gt;50,"Old Age",
L843&gt;=31,"Middle Age",
L843&lt;31,"Young Age"
)</f>
        <v>Old Age</v>
      </c>
      <c r="N843" t="s">
        <v>18</v>
      </c>
      <c r="O843" t="str" cm="1">
        <f t="array" ref="O843">_xlfn.IFS(D843&gt;120000, "High Income", D843&gt;=80000, "Average Income", D843&lt;80000, "Low Income")</f>
        <v>Average Income</v>
      </c>
      <c r="P843">
        <f>IF(Table24[[#This Row],[Purchased Bike]]="Yes",1,0)</f>
        <v>0</v>
      </c>
    </row>
    <row r="844" spans="1:16" x14ac:dyDescent="0.25">
      <c r="A844">
        <v>15555</v>
      </c>
      <c r="B844" t="s">
        <v>34</v>
      </c>
      <c r="C844" t="s">
        <v>33</v>
      </c>
      <c r="D844" s="2">
        <v>60000</v>
      </c>
      <c r="E844">
        <v>1</v>
      </c>
      <c r="F844" t="s">
        <v>19</v>
      </c>
      <c r="G844" t="s">
        <v>14</v>
      </c>
      <c r="H844" t="s">
        <v>15</v>
      </c>
      <c r="I844">
        <v>1</v>
      </c>
      <c r="J844" t="s">
        <v>22</v>
      </c>
      <c r="K844" t="s">
        <v>32</v>
      </c>
      <c r="L844">
        <v>45</v>
      </c>
      <c r="M844" t="str" cm="1">
        <f t="array" ref="M844">_xlfn.IFS(
L844&gt;50,"Old Age",
L844&gt;=31,"Middle Age",
L844&lt;31,"Young Age"
)</f>
        <v>Middle Age</v>
      </c>
      <c r="N844" t="s">
        <v>15</v>
      </c>
      <c r="O844" t="str" cm="1">
        <f t="array" ref="O844">_xlfn.IFS(D844&gt;120000, "High Income", D844&gt;=80000, "Average Income", D844&lt;80000, "Low Income")</f>
        <v>Low Income</v>
      </c>
      <c r="P844">
        <f>IF(Table24[[#This Row],[Purchased Bike]]="Yes",1,0)</f>
        <v>1</v>
      </c>
    </row>
    <row r="845" spans="1:16" hidden="1" x14ac:dyDescent="0.25">
      <c r="A845">
        <v>18423</v>
      </c>
      <c r="B845" t="s">
        <v>35</v>
      </c>
      <c r="C845" t="s">
        <v>34</v>
      </c>
      <c r="D845" s="2">
        <v>80000</v>
      </c>
      <c r="E845">
        <v>2</v>
      </c>
      <c r="F845" t="s">
        <v>29</v>
      </c>
      <c r="G845" t="s">
        <v>14</v>
      </c>
      <c r="H845" t="s">
        <v>18</v>
      </c>
      <c r="I845">
        <v>2</v>
      </c>
      <c r="J845" t="s">
        <v>26</v>
      </c>
      <c r="K845" t="s">
        <v>32</v>
      </c>
      <c r="L845">
        <v>52</v>
      </c>
      <c r="M845" t="str" cm="1">
        <f t="array" ref="M845">_xlfn.IFS(
L845&gt;50,"Old Age",
L845&gt;=31,"Middle Age",
L845&lt;31,"Young Age"
)</f>
        <v>Old Age</v>
      </c>
      <c r="N845" t="s">
        <v>18</v>
      </c>
      <c r="O845" t="str" cm="1">
        <f t="array" ref="O845">_xlfn.IFS(D845&gt;120000, "High Income", D845&gt;=80000, "Average Income", D845&lt;80000, "Low Income")</f>
        <v>Average Income</v>
      </c>
      <c r="P845">
        <f>IF(Table24[[#This Row],[Purchased Bike]]="Yes",1,0)</f>
        <v>0</v>
      </c>
    </row>
    <row r="846" spans="1:16" hidden="1" x14ac:dyDescent="0.25">
      <c r="A846">
        <v>22743</v>
      </c>
      <c r="B846" t="s">
        <v>34</v>
      </c>
      <c r="C846" t="s">
        <v>33</v>
      </c>
      <c r="D846" s="2">
        <v>40000</v>
      </c>
      <c r="E846">
        <v>5</v>
      </c>
      <c r="F846" t="s">
        <v>27</v>
      </c>
      <c r="G846" t="s">
        <v>21</v>
      </c>
      <c r="H846" t="s">
        <v>15</v>
      </c>
      <c r="I846">
        <v>2</v>
      </c>
      <c r="J846" t="s">
        <v>30</v>
      </c>
      <c r="K846" t="s">
        <v>32</v>
      </c>
      <c r="L846">
        <v>60</v>
      </c>
      <c r="M846" t="str" cm="1">
        <f t="array" ref="M846">_xlfn.IFS(
L846&gt;50,"Old Age",
L846&gt;=31,"Middle Age",
L846&lt;31,"Young Age"
)</f>
        <v>Old Age</v>
      </c>
      <c r="N846" t="s">
        <v>18</v>
      </c>
      <c r="O846" t="str" cm="1">
        <f t="array" ref="O846">_xlfn.IFS(D846&gt;120000, "High Income", D846&gt;=80000, "Average Income", D846&lt;80000, "Low Income")</f>
        <v>Low Income</v>
      </c>
      <c r="P846">
        <f>IF(Table24[[#This Row],[Purchased Bike]]="Yes",1,0)</f>
        <v>0</v>
      </c>
    </row>
    <row r="847" spans="1:16" hidden="1" x14ac:dyDescent="0.25">
      <c r="A847">
        <v>25343</v>
      </c>
      <c r="B847" t="s">
        <v>35</v>
      </c>
      <c r="C847" t="s">
        <v>33</v>
      </c>
      <c r="D847" s="2">
        <v>20000</v>
      </c>
      <c r="E847">
        <v>3</v>
      </c>
      <c r="F847" t="s">
        <v>29</v>
      </c>
      <c r="G847" t="s">
        <v>20</v>
      </c>
      <c r="H847" t="s">
        <v>15</v>
      </c>
      <c r="I847">
        <v>2</v>
      </c>
      <c r="J847" t="s">
        <v>26</v>
      </c>
      <c r="K847" t="s">
        <v>32</v>
      </c>
      <c r="L847">
        <v>50</v>
      </c>
      <c r="M847" t="str" cm="1">
        <f t="array" ref="M847">_xlfn.IFS(
L847&gt;50,"Old Age",
L847&gt;=31,"Middle Age",
L847&lt;31,"Young Age"
)</f>
        <v>Middle Age</v>
      </c>
      <c r="N847" t="s">
        <v>18</v>
      </c>
      <c r="O847" t="str" cm="1">
        <f t="array" ref="O847">_xlfn.IFS(D847&gt;120000, "High Income", D847&gt;=80000, "Average Income", D847&lt;80000, "Low Income")</f>
        <v>Low Income</v>
      </c>
      <c r="P847">
        <f>IF(Table24[[#This Row],[Purchased Bike]]="Yes",1,0)</f>
        <v>0</v>
      </c>
    </row>
    <row r="848" spans="1:16" hidden="1" x14ac:dyDescent="0.25">
      <c r="A848">
        <v>13390</v>
      </c>
      <c r="B848" t="s">
        <v>34</v>
      </c>
      <c r="C848" t="s">
        <v>33</v>
      </c>
      <c r="D848" s="2">
        <v>70000</v>
      </c>
      <c r="E848">
        <v>4</v>
      </c>
      <c r="F848" t="s">
        <v>19</v>
      </c>
      <c r="G848" t="s">
        <v>21</v>
      </c>
      <c r="H848" t="s">
        <v>18</v>
      </c>
      <c r="I848">
        <v>1</v>
      </c>
      <c r="J848" t="s">
        <v>26</v>
      </c>
      <c r="K848" t="s">
        <v>32</v>
      </c>
      <c r="L848">
        <v>56</v>
      </c>
      <c r="M848" t="str" cm="1">
        <f t="array" ref="M848">_xlfn.IFS(
L848&gt;50,"Old Age",
L848&gt;=31,"Middle Age",
L848&lt;31,"Young Age"
)</f>
        <v>Old Age</v>
      </c>
      <c r="N848" t="s">
        <v>18</v>
      </c>
      <c r="O848" t="str" cm="1">
        <f t="array" ref="O848">_xlfn.IFS(D848&gt;120000, "High Income", D848&gt;=80000, "Average Income", D848&lt;80000, "Low Income")</f>
        <v>Low Income</v>
      </c>
      <c r="P848">
        <f>IF(Table24[[#This Row],[Purchased Bike]]="Yes",1,0)</f>
        <v>0</v>
      </c>
    </row>
    <row r="849" spans="1:16" hidden="1" x14ac:dyDescent="0.25">
      <c r="A849">
        <v>17482</v>
      </c>
      <c r="B849" t="s">
        <v>35</v>
      </c>
      <c r="C849" t="s">
        <v>33</v>
      </c>
      <c r="D849" s="2">
        <v>40000</v>
      </c>
      <c r="E849">
        <v>0</v>
      </c>
      <c r="F849" t="s">
        <v>29</v>
      </c>
      <c r="G849" t="s">
        <v>20</v>
      </c>
      <c r="H849" t="s">
        <v>15</v>
      </c>
      <c r="I849">
        <v>2</v>
      </c>
      <c r="J849" t="s">
        <v>23</v>
      </c>
      <c r="K849" t="s">
        <v>32</v>
      </c>
      <c r="L849">
        <v>29</v>
      </c>
      <c r="M849" t="str" cm="1">
        <f t="array" ref="M849">_xlfn.IFS(
L849&gt;50,"Old Age",
L849&gt;=31,"Middle Age",
L849&lt;31,"Young Age"
)</f>
        <v>Young Age</v>
      </c>
      <c r="N849" t="s">
        <v>18</v>
      </c>
      <c r="O849" t="str" cm="1">
        <f t="array" ref="O849">_xlfn.IFS(D849&gt;120000, "High Income", D849&gt;=80000, "Average Income", D849&lt;80000, "Low Income")</f>
        <v>Low Income</v>
      </c>
      <c r="P849">
        <f>IF(Table24[[#This Row],[Purchased Bike]]="Yes",1,0)</f>
        <v>0</v>
      </c>
    </row>
    <row r="850" spans="1:16" x14ac:dyDescent="0.25">
      <c r="A850">
        <v>13176</v>
      </c>
      <c r="B850" t="s">
        <v>35</v>
      </c>
      <c r="C850" t="s">
        <v>34</v>
      </c>
      <c r="D850" s="2">
        <v>130000</v>
      </c>
      <c r="E850">
        <v>0</v>
      </c>
      <c r="F850" t="s">
        <v>31</v>
      </c>
      <c r="G850" t="s">
        <v>28</v>
      </c>
      <c r="H850" t="s">
        <v>18</v>
      </c>
      <c r="I850">
        <v>2</v>
      </c>
      <c r="J850" t="s">
        <v>16</v>
      </c>
      <c r="K850" t="s">
        <v>32</v>
      </c>
      <c r="L850">
        <v>38</v>
      </c>
      <c r="M850" t="str" cm="1">
        <f t="array" ref="M850">_xlfn.IFS(
L850&gt;50,"Old Age",
L850&gt;=31,"Middle Age",
L850&lt;31,"Young Age"
)</f>
        <v>Middle Age</v>
      </c>
      <c r="N850" t="s">
        <v>15</v>
      </c>
      <c r="O850" t="str" cm="1">
        <f t="array" ref="O850">_xlfn.IFS(D850&gt;120000, "High Income", D850&gt;=80000, "Average Income", D850&lt;80000, "Low Income")</f>
        <v>High Income</v>
      </c>
      <c r="P850">
        <f>IF(Table24[[#This Row],[Purchased Bike]]="Yes",1,0)</f>
        <v>1</v>
      </c>
    </row>
    <row r="851" spans="1:16" hidden="1" x14ac:dyDescent="0.25">
      <c r="A851">
        <v>20504</v>
      </c>
      <c r="B851" t="s">
        <v>34</v>
      </c>
      <c r="C851" t="s">
        <v>33</v>
      </c>
      <c r="D851" s="2">
        <v>40000</v>
      </c>
      <c r="E851">
        <v>5</v>
      </c>
      <c r="F851" t="s">
        <v>27</v>
      </c>
      <c r="G851" t="s">
        <v>21</v>
      </c>
      <c r="H851" t="s">
        <v>18</v>
      </c>
      <c r="I851">
        <v>2</v>
      </c>
      <c r="J851" t="s">
        <v>22</v>
      </c>
      <c r="K851" t="s">
        <v>32</v>
      </c>
      <c r="L851">
        <v>60</v>
      </c>
      <c r="M851" t="str" cm="1">
        <f t="array" ref="M851">_xlfn.IFS(
L851&gt;50,"Old Age",
L851&gt;=31,"Middle Age",
L851&lt;31,"Young Age"
)</f>
        <v>Old Age</v>
      </c>
      <c r="N851" t="s">
        <v>18</v>
      </c>
      <c r="O851" t="str" cm="1">
        <f t="array" ref="O851">_xlfn.IFS(D851&gt;120000, "High Income", D851&gt;=80000, "Average Income", D851&lt;80000, "Low Income")</f>
        <v>Low Income</v>
      </c>
      <c r="P851">
        <f>IF(Table24[[#This Row],[Purchased Bike]]="Yes",1,0)</f>
        <v>0</v>
      </c>
    </row>
    <row r="852" spans="1:16" hidden="1" x14ac:dyDescent="0.25">
      <c r="A852">
        <v>12205</v>
      </c>
      <c r="B852" t="s">
        <v>35</v>
      </c>
      <c r="C852" t="s">
        <v>33</v>
      </c>
      <c r="D852" s="2">
        <v>130000</v>
      </c>
      <c r="E852">
        <v>2</v>
      </c>
      <c r="F852" t="s">
        <v>13</v>
      </c>
      <c r="G852" t="s">
        <v>28</v>
      </c>
      <c r="H852" t="s">
        <v>18</v>
      </c>
      <c r="I852">
        <v>4</v>
      </c>
      <c r="J852" t="s">
        <v>16</v>
      </c>
      <c r="K852" t="s">
        <v>32</v>
      </c>
      <c r="L852">
        <v>67</v>
      </c>
      <c r="M852" t="str" cm="1">
        <f t="array" ref="M852">_xlfn.IFS(
L852&gt;50,"Old Age",
L852&gt;=31,"Middle Age",
L852&lt;31,"Young Age"
)</f>
        <v>Old Age</v>
      </c>
      <c r="N852" t="s">
        <v>18</v>
      </c>
      <c r="O852" t="str" cm="1">
        <f t="array" ref="O852">_xlfn.IFS(D852&gt;120000, "High Income", D852&gt;=80000, "Average Income", D852&lt;80000, "Low Income")</f>
        <v>High Income</v>
      </c>
      <c r="P852">
        <f>IF(Table24[[#This Row],[Purchased Bike]]="Yes",1,0)</f>
        <v>0</v>
      </c>
    </row>
    <row r="853" spans="1:16" x14ac:dyDescent="0.25">
      <c r="A853">
        <v>16751</v>
      </c>
      <c r="B853" t="s">
        <v>34</v>
      </c>
      <c r="C853" t="s">
        <v>34</v>
      </c>
      <c r="D853" s="2">
        <v>60000</v>
      </c>
      <c r="E853">
        <v>0</v>
      </c>
      <c r="F853" t="s">
        <v>19</v>
      </c>
      <c r="G853" t="s">
        <v>14</v>
      </c>
      <c r="H853" t="s">
        <v>15</v>
      </c>
      <c r="I853">
        <v>1</v>
      </c>
      <c r="J853" t="s">
        <v>23</v>
      </c>
      <c r="K853" t="s">
        <v>32</v>
      </c>
      <c r="L853">
        <v>32</v>
      </c>
      <c r="M853" t="str" cm="1">
        <f t="array" ref="M853">_xlfn.IFS(
L853&gt;50,"Old Age",
L853&gt;=31,"Middle Age",
L853&lt;31,"Young Age"
)</f>
        <v>Middle Age</v>
      </c>
      <c r="N853" t="s">
        <v>15</v>
      </c>
      <c r="O853" t="str" cm="1">
        <f t="array" ref="O853">_xlfn.IFS(D853&gt;120000, "High Income", D853&gt;=80000, "Average Income", D853&lt;80000, "Low Income")</f>
        <v>Low Income</v>
      </c>
      <c r="P853">
        <f>IF(Table24[[#This Row],[Purchased Bike]]="Yes",1,0)</f>
        <v>1</v>
      </c>
    </row>
    <row r="854" spans="1:16" x14ac:dyDescent="0.25">
      <c r="A854">
        <v>21613</v>
      </c>
      <c r="B854" t="s">
        <v>35</v>
      </c>
      <c r="C854" t="s">
        <v>34</v>
      </c>
      <c r="D854" s="2">
        <v>50000</v>
      </c>
      <c r="E854">
        <v>2</v>
      </c>
      <c r="F854" t="s">
        <v>13</v>
      </c>
      <c r="G854" t="s">
        <v>14</v>
      </c>
      <c r="H854" t="s">
        <v>18</v>
      </c>
      <c r="I854">
        <v>1</v>
      </c>
      <c r="J854" t="s">
        <v>16</v>
      </c>
      <c r="K854" t="s">
        <v>32</v>
      </c>
      <c r="L854">
        <v>39</v>
      </c>
      <c r="M854" t="str" cm="1">
        <f t="array" ref="M854">_xlfn.IFS(
L854&gt;50,"Old Age",
L854&gt;=31,"Middle Age",
L854&lt;31,"Young Age"
)</f>
        <v>Middle Age</v>
      </c>
      <c r="N854" t="s">
        <v>15</v>
      </c>
      <c r="O854" t="str" cm="1">
        <f t="array" ref="O854">_xlfn.IFS(D854&gt;120000, "High Income", D854&gt;=80000, "Average Income", D854&lt;80000, "Low Income")</f>
        <v>Low Income</v>
      </c>
      <c r="P854">
        <f>IF(Table24[[#This Row],[Purchased Bike]]="Yes",1,0)</f>
        <v>1</v>
      </c>
    </row>
    <row r="855" spans="1:16" x14ac:dyDescent="0.25">
      <c r="A855">
        <v>24801</v>
      </c>
      <c r="B855" t="s">
        <v>35</v>
      </c>
      <c r="C855" t="s">
        <v>34</v>
      </c>
      <c r="D855" s="2">
        <v>60000</v>
      </c>
      <c r="E855">
        <v>1</v>
      </c>
      <c r="F855" t="s">
        <v>31</v>
      </c>
      <c r="G855" t="s">
        <v>21</v>
      </c>
      <c r="H855" t="s">
        <v>15</v>
      </c>
      <c r="I855">
        <v>0</v>
      </c>
      <c r="J855" t="s">
        <v>22</v>
      </c>
      <c r="K855" t="s">
        <v>32</v>
      </c>
      <c r="L855">
        <v>35</v>
      </c>
      <c r="M855" t="str" cm="1">
        <f t="array" ref="M855">_xlfn.IFS(
L855&gt;50,"Old Age",
L855&gt;=31,"Middle Age",
L855&lt;31,"Young Age"
)</f>
        <v>Middle Age</v>
      </c>
      <c r="N855" t="s">
        <v>15</v>
      </c>
      <c r="O855" t="str" cm="1">
        <f t="array" ref="O855">_xlfn.IFS(D855&gt;120000, "High Income", D855&gt;=80000, "Average Income", D855&lt;80000, "Low Income")</f>
        <v>Low Income</v>
      </c>
      <c r="P855">
        <f>IF(Table24[[#This Row],[Purchased Bike]]="Yes",1,0)</f>
        <v>1</v>
      </c>
    </row>
    <row r="856" spans="1:16" hidden="1" x14ac:dyDescent="0.25">
      <c r="A856">
        <v>17519</v>
      </c>
      <c r="B856" t="s">
        <v>34</v>
      </c>
      <c r="C856" t="s">
        <v>33</v>
      </c>
      <c r="D856" s="2">
        <v>60000</v>
      </c>
      <c r="E856">
        <v>0</v>
      </c>
      <c r="F856" t="s">
        <v>19</v>
      </c>
      <c r="G856" t="s">
        <v>21</v>
      </c>
      <c r="H856" t="s">
        <v>15</v>
      </c>
      <c r="I856">
        <v>2</v>
      </c>
      <c r="J856" t="s">
        <v>23</v>
      </c>
      <c r="K856" t="s">
        <v>32</v>
      </c>
      <c r="L856">
        <v>32</v>
      </c>
      <c r="M856" t="str" cm="1">
        <f t="array" ref="M856">_xlfn.IFS(
L856&gt;50,"Old Age",
L856&gt;=31,"Middle Age",
L856&lt;31,"Young Age"
)</f>
        <v>Middle Age</v>
      </c>
      <c r="N856" t="s">
        <v>18</v>
      </c>
      <c r="O856" t="str" cm="1">
        <f t="array" ref="O856">_xlfn.IFS(D856&gt;120000, "High Income", D856&gt;=80000, "Average Income", D856&lt;80000, "Low Income")</f>
        <v>Low Income</v>
      </c>
      <c r="P856">
        <f>IF(Table24[[#This Row],[Purchased Bike]]="Yes",1,0)</f>
        <v>0</v>
      </c>
    </row>
    <row r="857" spans="1:16" hidden="1" x14ac:dyDescent="0.25">
      <c r="A857">
        <v>18347</v>
      </c>
      <c r="B857" t="s">
        <v>35</v>
      </c>
      <c r="C857" t="s">
        <v>33</v>
      </c>
      <c r="D857" s="2">
        <v>30000</v>
      </c>
      <c r="E857">
        <v>0</v>
      </c>
      <c r="F857" t="s">
        <v>19</v>
      </c>
      <c r="G857" t="s">
        <v>14</v>
      </c>
      <c r="H857" t="s">
        <v>18</v>
      </c>
      <c r="I857">
        <v>1</v>
      </c>
      <c r="J857" t="s">
        <v>26</v>
      </c>
      <c r="K857" t="s">
        <v>32</v>
      </c>
      <c r="L857">
        <v>31</v>
      </c>
      <c r="M857" t="str" cm="1">
        <f t="array" ref="M857">_xlfn.IFS(
L857&gt;50,"Old Age",
L857&gt;=31,"Middle Age",
L857&lt;31,"Young Age"
)</f>
        <v>Middle Age</v>
      </c>
      <c r="N857" t="s">
        <v>18</v>
      </c>
      <c r="O857" t="str" cm="1">
        <f t="array" ref="O857">_xlfn.IFS(D857&gt;120000, "High Income", D857&gt;=80000, "Average Income", D857&lt;80000, "Low Income")</f>
        <v>Low Income</v>
      </c>
      <c r="P857">
        <f>IF(Table24[[#This Row],[Purchased Bike]]="Yes",1,0)</f>
        <v>0</v>
      </c>
    </row>
    <row r="858" spans="1:16" hidden="1" x14ac:dyDescent="0.25">
      <c r="A858">
        <v>29052</v>
      </c>
      <c r="B858" t="s">
        <v>35</v>
      </c>
      <c r="C858" t="s">
        <v>34</v>
      </c>
      <c r="D858" s="2">
        <v>40000</v>
      </c>
      <c r="E858">
        <v>0</v>
      </c>
      <c r="F858" t="s">
        <v>19</v>
      </c>
      <c r="G858" t="s">
        <v>14</v>
      </c>
      <c r="H858" t="s">
        <v>15</v>
      </c>
      <c r="I858">
        <v>1</v>
      </c>
      <c r="J858" t="s">
        <v>23</v>
      </c>
      <c r="K858" t="s">
        <v>32</v>
      </c>
      <c r="L858">
        <v>27</v>
      </c>
      <c r="M858" t="str" cm="1">
        <f t="array" ref="M858">_xlfn.IFS(
L858&gt;50,"Old Age",
L858&gt;=31,"Middle Age",
L858&lt;31,"Young Age"
)</f>
        <v>Young Age</v>
      </c>
      <c r="N858" t="s">
        <v>18</v>
      </c>
      <c r="O858" t="str" cm="1">
        <f t="array" ref="O858">_xlfn.IFS(D858&gt;120000, "High Income", D858&gt;=80000, "Average Income", D858&lt;80000, "Low Income")</f>
        <v>Low Income</v>
      </c>
      <c r="P858">
        <f>IF(Table24[[#This Row],[Purchased Bike]]="Yes",1,0)</f>
        <v>0</v>
      </c>
    </row>
    <row r="859" spans="1:16" x14ac:dyDescent="0.25">
      <c r="A859">
        <v>11745</v>
      </c>
      <c r="B859" t="s">
        <v>34</v>
      </c>
      <c r="C859" t="s">
        <v>33</v>
      </c>
      <c r="D859" s="2">
        <v>60000</v>
      </c>
      <c r="E859">
        <v>1</v>
      </c>
      <c r="F859" t="s">
        <v>13</v>
      </c>
      <c r="G859" t="s">
        <v>21</v>
      </c>
      <c r="H859" t="s">
        <v>15</v>
      </c>
      <c r="I859">
        <v>1</v>
      </c>
      <c r="J859" t="s">
        <v>16</v>
      </c>
      <c r="K859" t="s">
        <v>32</v>
      </c>
      <c r="L859">
        <v>47</v>
      </c>
      <c r="M859" t="str" cm="1">
        <f t="array" ref="M859">_xlfn.IFS(
L859&gt;50,"Old Age",
L859&gt;=31,"Middle Age",
L859&lt;31,"Young Age"
)</f>
        <v>Middle Age</v>
      </c>
      <c r="N859" t="s">
        <v>15</v>
      </c>
      <c r="O859" t="str" cm="1">
        <f t="array" ref="O859">_xlfn.IFS(D859&gt;120000, "High Income", D859&gt;=80000, "Average Income", D859&lt;80000, "Low Income")</f>
        <v>Low Income</v>
      </c>
      <c r="P859">
        <f>IF(Table24[[#This Row],[Purchased Bike]]="Yes",1,0)</f>
        <v>1</v>
      </c>
    </row>
    <row r="860" spans="1:16" hidden="1" x14ac:dyDescent="0.25">
      <c r="A860">
        <v>19147</v>
      </c>
      <c r="B860" t="s">
        <v>34</v>
      </c>
      <c r="C860" t="s">
        <v>34</v>
      </c>
      <c r="D860" s="2">
        <v>40000</v>
      </c>
      <c r="E860">
        <v>0</v>
      </c>
      <c r="F860" t="s">
        <v>13</v>
      </c>
      <c r="G860" t="s">
        <v>21</v>
      </c>
      <c r="H860" t="s">
        <v>18</v>
      </c>
      <c r="I860">
        <v>1</v>
      </c>
      <c r="J860" t="s">
        <v>16</v>
      </c>
      <c r="K860" t="s">
        <v>32</v>
      </c>
      <c r="L860">
        <v>42</v>
      </c>
      <c r="M860" t="str" cm="1">
        <f t="array" ref="M860">_xlfn.IFS(
L860&gt;50,"Old Age",
L860&gt;=31,"Middle Age",
L860&lt;31,"Young Age"
)</f>
        <v>Middle Age</v>
      </c>
      <c r="N860" t="s">
        <v>18</v>
      </c>
      <c r="O860" t="str" cm="1">
        <f t="array" ref="O860">_xlfn.IFS(D860&gt;120000, "High Income", D860&gt;=80000, "Average Income", D860&lt;80000, "Low Income")</f>
        <v>Low Income</v>
      </c>
      <c r="P860">
        <f>IF(Table24[[#This Row],[Purchased Bike]]="Yes",1,0)</f>
        <v>0</v>
      </c>
    </row>
    <row r="861" spans="1:16" hidden="1" x14ac:dyDescent="0.25">
      <c r="A861">
        <v>19217</v>
      </c>
      <c r="B861" t="s">
        <v>34</v>
      </c>
      <c r="C861" t="s">
        <v>34</v>
      </c>
      <c r="D861" s="2">
        <v>30000</v>
      </c>
      <c r="E861">
        <v>2</v>
      </c>
      <c r="F861" t="s">
        <v>27</v>
      </c>
      <c r="G861" t="s">
        <v>14</v>
      </c>
      <c r="H861" t="s">
        <v>15</v>
      </c>
      <c r="I861">
        <v>2</v>
      </c>
      <c r="J861" t="s">
        <v>26</v>
      </c>
      <c r="K861" t="s">
        <v>32</v>
      </c>
      <c r="L861">
        <v>49</v>
      </c>
      <c r="M861" t="str" cm="1">
        <f t="array" ref="M861">_xlfn.IFS(
L861&gt;50,"Old Age",
L861&gt;=31,"Middle Age",
L861&lt;31,"Young Age"
)</f>
        <v>Middle Age</v>
      </c>
      <c r="N861" t="s">
        <v>18</v>
      </c>
      <c r="O861" t="str" cm="1">
        <f t="array" ref="O861">_xlfn.IFS(D861&gt;120000, "High Income", D861&gt;=80000, "Average Income", D861&lt;80000, "Low Income")</f>
        <v>Low Income</v>
      </c>
      <c r="P861">
        <f>IF(Table24[[#This Row],[Purchased Bike]]="Yes",1,0)</f>
        <v>0</v>
      </c>
    </row>
    <row r="862" spans="1:16" hidden="1" x14ac:dyDescent="0.25">
      <c r="A862">
        <v>15839</v>
      </c>
      <c r="B862" t="s">
        <v>35</v>
      </c>
      <c r="C862" t="s">
        <v>34</v>
      </c>
      <c r="D862" s="2">
        <v>30000</v>
      </c>
      <c r="E862">
        <v>0</v>
      </c>
      <c r="F862" t="s">
        <v>19</v>
      </c>
      <c r="G862" t="s">
        <v>14</v>
      </c>
      <c r="H862" t="s">
        <v>15</v>
      </c>
      <c r="I862">
        <v>1</v>
      </c>
      <c r="J862" t="s">
        <v>23</v>
      </c>
      <c r="K862" t="s">
        <v>32</v>
      </c>
      <c r="L862">
        <v>32</v>
      </c>
      <c r="M862" t="str" cm="1">
        <f t="array" ref="M862">_xlfn.IFS(
L862&gt;50,"Old Age",
L862&gt;=31,"Middle Age",
L862&lt;31,"Young Age"
)</f>
        <v>Middle Age</v>
      </c>
      <c r="N862" t="s">
        <v>18</v>
      </c>
      <c r="O862" t="str" cm="1">
        <f t="array" ref="O862">_xlfn.IFS(D862&gt;120000, "High Income", D862&gt;=80000, "Average Income", D862&lt;80000, "Low Income")</f>
        <v>Low Income</v>
      </c>
      <c r="P862">
        <f>IF(Table24[[#This Row],[Purchased Bike]]="Yes",1,0)</f>
        <v>0</v>
      </c>
    </row>
    <row r="863" spans="1:16" hidden="1" x14ac:dyDescent="0.25">
      <c r="A863">
        <v>13714</v>
      </c>
      <c r="B863" t="s">
        <v>34</v>
      </c>
      <c r="C863" t="s">
        <v>33</v>
      </c>
      <c r="D863" s="2">
        <v>20000</v>
      </c>
      <c r="E863">
        <v>2</v>
      </c>
      <c r="F863" t="s">
        <v>27</v>
      </c>
      <c r="G863" t="s">
        <v>25</v>
      </c>
      <c r="H863" t="s">
        <v>18</v>
      </c>
      <c r="I863">
        <v>2</v>
      </c>
      <c r="J863" t="s">
        <v>26</v>
      </c>
      <c r="K863" t="s">
        <v>32</v>
      </c>
      <c r="L863">
        <v>53</v>
      </c>
      <c r="M863" t="str" cm="1">
        <f t="array" ref="M863">_xlfn.IFS(
L863&gt;50,"Old Age",
L863&gt;=31,"Middle Age",
L863&lt;31,"Young Age"
)</f>
        <v>Old Age</v>
      </c>
      <c r="N863" t="s">
        <v>15</v>
      </c>
      <c r="O863" t="str" cm="1">
        <f t="array" ref="O863">_xlfn.IFS(D863&gt;120000, "High Income", D863&gt;=80000, "Average Income", D863&lt;80000, "Low Income")</f>
        <v>Low Income</v>
      </c>
      <c r="P863">
        <f>IF(Table24[[#This Row],[Purchased Bike]]="Yes",1,0)</f>
        <v>1</v>
      </c>
    </row>
    <row r="864" spans="1:16" x14ac:dyDescent="0.25">
      <c r="A864">
        <v>22330</v>
      </c>
      <c r="B864" t="s">
        <v>34</v>
      </c>
      <c r="C864" t="s">
        <v>34</v>
      </c>
      <c r="D864" s="2">
        <v>50000</v>
      </c>
      <c r="E864">
        <v>0</v>
      </c>
      <c r="F864" t="s">
        <v>31</v>
      </c>
      <c r="G864" t="s">
        <v>14</v>
      </c>
      <c r="H864" t="s">
        <v>15</v>
      </c>
      <c r="I864">
        <v>0</v>
      </c>
      <c r="J864" t="s">
        <v>26</v>
      </c>
      <c r="K864" t="s">
        <v>32</v>
      </c>
      <c r="L864">
        <v>32</v>
      </c>
      <c r="M864" t="str" cm="1">
        <f t="array" ref="M864">_xlfn.IFS(
L864&gt;50,"Old Age",
L864&gt;=31,"Middle Age",
L864&lt;31,"Young Age"
)</f>
        <v>Middle Age</v>
      </c>
      <c r="N864" t="s">
        <v>15</v>
      </c>
      <c r="O864" t="str" cm="1">
        <f t="array" ref="O864">_xlfn.IFS(D864&gt;120000, "High Income", D864&gt;=80000, "Average Income", D864&lt;80000, "Low Income")</f>
        <v>Low Income</v>
      </c>
      <c r="P864">
        <f>IF(Table24[[#This Row],[Purchased Bike]]="Yes",1,0)</f>
        <v>1</v>
      </c>
    </row>
    <row r="865" spans="1:16" x14ac:dyDescent="0.25">
      <c r="A865">
        <v>18783</v>
      </c>
      <c r="B865" t="s">
        <v>35</v>
      </c>
      <c r="C865" t="s">
        <v>34</v>
      </c>
      <c r="D865" s="2">
        <v>80000</v>
      </c>
      <c r="E865">
        <v>0</v>
      </c>
      <c r="F865" t="s">
        <v>13</v>
      </c>
      <c r="G865" t="s">
        <v>28</v>
      </c>
      <c r="H865" t="s">
        <v>18</v>
      </c>
      <c r="I865">
        <v>1</v>
      </c>
      <c r="J865" t="s">
        <v>16</v>
      </c>
      <c r="K865" t="s">
        <v>32</v>
      </c>
      <c r="L865">
        <v>38</v>
      </c>
      <c r="M865" t="str" cm="1">
        <f t="array" ref="M865">_xlfn.IFS(
L865&gt;50,"Old Age",
L865&gt;=31,"Middle Age",
L865&lt;31,"Young Age"
)</f>
        <v>Middle Age</v>
      </c>
      <c r="N865" t="s">
        <v>15</v>
      </c>
      <c r="O865" t="str" cm="1">
        <f t="array" ref="O865">_xlfn.IFS(D865&gt;120000, "High Income", D865&gt;=80000, "Average Income", D865&lt;80000, "Low Income")</f>
        <v>Average Income</v>
      </c>
      <c r="P865">
        <f>IF(Table24[[#This Row],[Purchased Bike]]="Yes",1,0)</f>
        <v>1</v>
      </c>
    </row>
    <row r="866" spans="1:16" hidden="1" x14ac:dyDescent="0.25">
      <c r="A866">
        <v>25041</v>
      </c>
      <c r="B866" t="s">
        <v>35</v>
      </c>
      <c r="C866" t="s">
        <v>34</v>
      </c>
      <c r="D866" s="2">
        <v>40000</v>
      </c>
      <c r="E866">
        <v>0</v>
      </c>
      <c r="F866" t="s">
        <v>27</v>
      </c>
      <c r="G866" t="s">
        <v>14</v>
      </c>
      <c r="H866" t="s">
        <v>15</v>
      </c>
      <c r="I866">
        <v>2</v>
      </c>
      <c r="J866" t="s">
        <v>23</v>
      </c>
      <c r="K866" t="s">
        <v>32</v>
      </c>
      <c r="L866">
        <v>31</v>
      </c>
      <c r="M866" t="str" cm="1">
        <f t="array" ref="M866">_xlfn.IFS(
L866&gt;50,"Old Age",
L866&gt;=31,"Middle Age",
L866&lt;31,"Young Age"
)</f>
        <v>Middle Age</v>
      </c>
      <c r="N866" t="s">
        <v>18</v>
      </c>
      <c r="O866" t="str" cm="1">
        <f t="array" ref="O866">_xlfn.IFS(D866&gt;120000, "High Income", D866&gt;=80000, "Average Income", D866&lt;80000, "Low Income")</f>
        <v>Low Income</v>
      </c>
      <c r="P866">
        <f>IF(Table24[[#This Row],[Purchased Bike]]="Yes",1,0)</f>
        <v>0</v>
      </c>
    </row>
    <row r="867" spans="1:16" x14ac:dyDescent="0.25">
      <c r="A867">
        <v>22046</v>
      </c>
      <c r="B867" t="s">
        <v>35</v>
      </c>
      <c r="C867" t="s">
        <v>33</v>
      </c>
      <c r="D867" s="2">
        <v>80000</v>
      </c>
      <c r="E867">
        <v>0</v>
      </c>
      <c r="F867" t="s">
        <v>13</v>
      </c>
      <c r="G867" t="s">
        <v>28</v>
      </c>
      <c r="H867" t="s">
        <v>18</v>
      </c>
      <c r="I867">
        <v>1</v>
      </c>
      <c r="J867" t="s">
        <v>16</v>
      </c>
      <c r="K867" t="s">
        <v>32</v>
      </c>
      <c r="L867">
        <v>38</v>
      </c>
      <c r="M867" t="str" cm="1">
        <f t="array" ref="M867">_xlfn.IFS(
L867&gt;50,"Old Age",
L867&gt;=31,"Middle Age",
L867&lt;31,"Young Age"
)</f>
        <v>Middle Age</v>
      </c>
      <c r="N867" t="s">
        <v>15</v>
      </c>
      <c r="O867" t="str" cm="1">
        <f t="array" ref="O867">_xlfn.IFS(D867&gt;120000, "High Income", D867&gt;=80000, "Average Income", D867&lt;80000, "Low Income")</f>
        <v>Average Income</v>
      </c>
      <c r="P867">
        <f>IF(Table24[[#This Row],[Purchased Bike]]="Yes",1,0)</f>
        <v>1</v>
      </c>
    </row>
    <row r="868" spans="1:16" hidden="1" x14ac:dyDescent="0.25">
      <c r="A868">
        <v>28052</v>
      </c>
      <c r="B868" t="s">
        <v>34</v>
      </c>
      <c r="C868" t="s">
        <v>34</v>
      </c>
      <c r="D868" s="2">
        <v>60000</v>
      </c>
      <c r="E868">
        <v>2</v>
      </c>
      <c r="F868" t="s">
        <v>27</v>
      </c>
      <c r="G868" t="s">
        <v>21</v>
      </c>
      <c r="H868" t="s">
        <v>15</v>
      </c>
      <c r="I868">
        <v>2</v>
      </c>
      <c r="J868" t="s">
        <v>30</v>
      </c>
      <c r="K868" t="s">
        <v>32</v>
      </c>
      <c r="L868">
        <v>55</v>
      </c>
      <c r="M868" t="str" cm="1">
        <f t="array" ref="M868">_xlfn.IFS(
L868&gt;50,"Old Age",
L868&gt;=31,"Middle Age",
L868&lt;31,"Young Age"
)</f>
        <v>Old Age</v>
      </c>
      <c r="N868" t="s">
        <v>18</v>
      </c>
      <c r="O868" t="str" cm="1">
        <f t="array" ref="O868">_xlfn.IFS(D868&gt;120000, "High Income", D868&gt;=80000, "Average Income", D868&lt;80000, "Low Income")</f>
        <v>Low Income</v>
      </c>
      <c r="P868">
        <f>IF(Table24[[#This Row],[Purchased Bike]]="Yes",1,0)</f>
        <v>0</v>
      </c>
    </row>
    <row r="869" spans="1:16" hidden="1" x14ac:dyDescent="0.25">
      <c r="A869">
        <v>26693</v>
      </c>
      <c r="B869" t="s">
        <v>34</v>
      </c>
      <c r="C869" t="s">
        <v>34</v>
      </c>
      <c r="D869" s="2">
        <v>70000</v>
      </c>
      <c r="E869">
        <v>3</v>
      </c>
      <c r="F869" t="s">
        <v>19</v>
      </c>
      <c r="G869" t="s">
        <v>21</v>
      </c>
      <c r="H869" t="s">
        <v>15</v>
      </c>
      <c r="I869">
        <v>1</v>
      </c>
      <c r="J869" t="s">
        <v>23</v>
      </c>
      <c r="K869" t="s">
        <v>32</v>
      </c>
      <c r="L869">
        <v>49</v>
      </c>
      <c r="M869" t="str" cm="1">
        <f t="array" ref="M869">_xlfn.IFS(
L869&gt;50,"Old Age",
L869&gt;=31,"Middle Age",
L869&lt;31,"Young Age"
)</f>
        <v>Middle Age</v>
      </c>
      <c r="N869" t="s">
        <v>18</v>
      </c>
      <c r="O869" t="str" cm="1">
        <f t="array" ref="O869">_xlfn.IFS(D869&gt;120000, "High Income", D869&gt;=80000, "Average Income", D869&lt;80000, "Low Income")</f>
        <v>Low Income</v>
      </c>
      <c r="P869">
        <f>IF(Table24[[#This Row],[Purchased Bike]]="Yes",1,0)</f>
        <v>0</v>
      </c>
    </row>
    <row r="870" spans="1:16" hidden="1" x14ac:dyDescent="0.25">
      <c r="A870">
        <v>24955</v>
      </c>
      <c r="B870" t="s">
        <v>35</v>
      </c>
      <c r="C870" t="s">
        <v>34</v>
      </c>
      <c r="D870" s="2">
        <v>30000</v>
      </c>
      <c r="E870">
        <v>5</v>
      </c>
      <c r="F870" t="s">
        <v>29</v>
      </c>
      <c r="G870" t="s">
        <v>14</v>
      </c>
      <c r="H870" t="s">
        <v>15</v>
      </c>
      <c r="I870">
        <v>3</v>
      </c>
      <c r="J870" t="s">
        <v>30</v>
      </c>
      <c r="K870" t="s">
        <v>32</v>
      </c>
      <c r="L870">
        <v>60</v>
      </c>
      <c r="M870" t="str" cm="1">
        <f t="array" ref="M870">_xlfn.IFS(
L870&gt;50,"Old Age",
L870&gt;=31,"Middle Age",
L870&lt;31,"Young Age"
)</f>
        <v>Old Age</v>
      </c>
      <c r="N870" t="s">
        <v>15</v>
      </c>
      <c r="O870" t="str" cm="1">
        <f t="array" ref="O870">_xlfn.IFS(D870&gt;120000, "High Income", D870&gt;=80000, "Average Income", D870&lt;80000, "Low Income")</f>
        <v>Low Income</v>
      </c>
      <c r="P870">
        <f>IF(Table24[[#This Row],[Purchased Bike]]="Yes",1,0)</f>
        <v>1</v>
      </c>
    </row>
    <row r="871" spans="1:16" hidden="1" x14ac:dyDescent="0.25">
      <c r="A871">
        <v>26065</v>
      </c>
      <c r="B871" t="s">
        <v>35</v>
      </c>
      <c r="C871" t="s">
        <v>33</v>
      </c>
      <c r="D871" s="2">
        <v>110000</v>
      </c>
      <c r="E871">
        <v>3</v>
      </c>
      <c r="F871" t="s">
        <v>13</v>
      </c>
      <c r="G871" t="s">
        <v>28</v>
      </c>
      <c r="H871" t="s">
        <v>18</v>
      </c>
      <c r="I871">
        <v>4</v>
      </c>
      <c r="J871" t="s">
        <v>26</v>
      </c>
      <c r="K871" t="s">
        <v>32</v>
      </c>
      <c r="L871">
        <v>42</v>
      </c>
      <c r="M871" t="str" cm="1">
        <f t="array" ref="M871">_xlfn.IFS(
L871&gt;50,"Old Age",
L871&gt;=31,"Middle Age",
L871&lt;31,"Young Age"
)</f>
        <v>Middle Age</v>
      </c>
      <c r="N871" t="s">
        <v>18</v>
      </c>
      <c r="O871" t="str" cm="1">
        <f t="array" ref="O871">_xlfn.IFS(D871&gt;120000, "High Income", D871&gt;=80000, "Average Income", D871&lt;80000, "Low Income")</f>
        <v>Average Income</v>
      </c>
      <c r="P871">
        <f>IF(Table24[[#This Row],[Purchased Bike]]="Yes",1,0)</f>
        <v>0</v>
      </c>
    </row>
    <row r="872" spans="1:16" hidden="1" x14ac:dyDescent="0.25">
      <c r="A872">
        <v>13942</v>
      </c>
      <c r="B872" t="s">
        <v>34</v>
      </c>
      <c r="C872" t="s">
        <v>34</v>
      </c>
      <c r="D872" s="2">
        <v>60000</v>
      </c>
      <c r="E872">
        <v>1</v>
      </c>
      <c r="F872" t="s">
        <v>19</v>
      </c>
      <c r="G872" t="s">
        <v>14</v>
      </c>
      <c r="H872" t="s">
        <v>15</v>
      </c>
      <c r="I872">
        <v>1</v>
      </c>
      <c r="J872" t="s">
        <v>16</v>
      </c>
      <c r="K872" t="s">
        <v>32</v>
      </c>
      <c r="L872">
        <v>46</v>
      </c>
      <c r="M872" t="str" cm="1">
        <f t="array" ref="M872">_xlfn.IFS(
L872&gt;50,"Old Age",
L872&gt;=31,"Middle Age",
L872&lt;31,"Young Age"
)</f>
        <v>Middle Age</v>
      </c>
      <c r="N872" t="s">
        <v>18</v>
      </c>
      <c r="O872" t="str" cm="1">
        <f t="array" ref="O872">_xlfn.IFS(D872&gt;120000, "High Income", D872&gt;=80000, "Average Income", D872&lt;80000, "Low Income")</f>
        <v>Low Income</v>
      </c>
      <c r="P872">
        <f>IF(Table24[[#This Row],[Purchased Bike]]="Yes",1,0)</f>
        <v>0</v>
      </c>
    </row>
    <row r="873" spans="1:16" hidden="1" x14ac:dyDescent="0.25">
      <c r="A873">
        <v>11219</v>
      </c>
      <c r="B873" t="s">
        <v>34</v>
      </c>
      <c r="C873" t="s">
        <v>34</v>
      </c>
      <c r="D873" s="2">
        <v>60000</v>
      </c>
      <c r="E873">
        <v>2</v>
      </c>
      <c r="F873" t="s">
        <v>27</v>
      </c>
      <c r="G873" t="s">
        <v>21</v>
      </c>
      <c r="H873" t="s">
        <v>15</v>
      </c>
      <c r="I873">
        <v>2</v>
      </c>
      <c r="J873" t="s">
        <v>30</v>
      </c>
      <c r="K873" t="s">
        <v>32</v>
      </c>
      <c r="L873">
        <v>55</v>
      </c>
      <c r="M873" t="str" cm="1">
        <f t="array" ref="M873">_xlfn.IFS(
L873&gt;50,"Old Age",
L873&gt;=31,"Middle Age",
L873&lt;31,"Young Age"
)</f>
        <v>Old Age</v>
      </c>
      <c r="N873" t="s">
        <v>18</v>
      </c>
      <c r="O873" t="str" cm="1">
        <f t="array" ref="O873">_xlfn.IFS(D873&gt;120000, "High Income", D873&gt;=80000, "Average Income", D873&lt;80000, "Low Income")</f>
        <v>Low Income</v>
      </c>
      <c r="P873">
        <f>IF(Table24[[#This Row],[Purchased Bike]]="Yes",1,0)</f>
        <v>0</v>
      </c>
    </row>
    <row r="874" spans="1:16" hidden="1" x14ac:dyDescent="0.25">
      <c r="A874">
        <v>22118</v>
      </c>
      <c r="B874" t="s">
        <v>35</v>
      </c>
      <c r="C874" t="s">
        <v>33</v>
      </c>
      <c r="D874" s="2">
        <v>70000</v>
      </c>
      <c r="E874">
        <v>3</v>
      </c>
      <c r="F874" t="s">
        <v>31</v>
      </c>
      <c r="G874" t="s">
        <v>28</v>
      </c>
      <c r="H874" t="s">
        <v>15</v>
      </c>
      <c r="I874">
        <v>2</v>
      </c>
      <c r="J874" t="s">
        <v>23</v>
      </c>
      <c r="K874" t="s">
        <v>32</v>
      </c>
      <c r="L874">
        <v>53</v>
      </c>
      <c r="M874" t="str" cm="1">
        <f t="array" ref="M874">_xlfn.IFS(
L874&gt;50,"Old Age",
L874&gt;=31,"Middle Age",
L874&lt;31,"Young Age"
)</f>
        <v>Old Age</v>
      </c>
      <c r="N874" t="s">
        <v>15</v>
      </c>
      <c r="O874" t="str" cm="1">
        <f t="array" ref="O874">_xlfn.IFS(D874&gt;120000, "High Income", D874&gt;=80000, "Average Income", D874&lt;80000, "Low Income")</f>
        <v>Low Income</v>
      </c>
      <c r="P874">
        <f>IF(Table24[[#This Row],[Purchased Bike]]="Yes",1,0)</f>
        <v>1</v>
      </c>
    </row>
    <row r="875" spans="1:16" hidden="1" x14ac:dyDescent="0.25">
      <c r="A875">
        <v>23197</v>
      </c>
      <c r="B875" t="s">
        <v>34</v>
      </c>
      <c r="C875" t="s">
        <v>34</v>
      </c>
      <c r="D875" s="2">
        <v>50000</v>
      </c>
      <c r="E875">
        <v>3</v>
      </c>
      <c r="F875" t="s">
        <v>13</v>
      </c>
      <c r="G875" t="s">
        <v>14</v>
      </c>
      <c r="H875" t="s">
        <v>15</v>
      </c>
      <c r="I875">
        <v>2</v>
      </c>
      <c r="J875" t="s">
        <v>22</v>
      </c>
      <c r="K875" t="s">
        <v>32</v>
      </c>
      <c r="L875">
        <v>40</v>
      </c>
      <c r="M875" t="str" cm="1">
        <f t="array" ref="M875">_xlfn.IFS(
L875&gt;50,"Old Age",
L875&gt;=31,"Middle Age",
L875&lt;31,"Young Age"
)</f>
        <v>Middle Age</v>
      </c>
      <c r="N875" t="s">
        <v>18</v>
      </c>
      <c r="O875" t="str" cm="1">
        <f t="array" ref="O875">_xlfn.IFS(D875&gt;120000, "High Income", D875&gt;=80000, "Average Income", D875&lt;80000, "Low Income")</f>
        <v>Low Income</v>
      </c>
      <c r="P875">
        <f>IF(Table24[[#This Row],[Purchased Bike]]="Yes",1,0)</f>
        <v>0</v>
      </c>
    </row>
    <row r="876" spans="1:16" hidden="1" x14ac:dyDescent="0.25">
      <c r="A876">
        <v>14883</v>
      </c>
      <c r="B876" t="s">
        <v>34</v>
      </c>
      <c r="C876" t="s">
        <v>33</v>
      </c>
      <c r="D876" s="2">
        <v>30000</v>
      </c>
      <c r="E876">
        <v>1</v>
      </c>
      <c r="F876" t="s">
        <v>13</v>
      </c>
      <c r="G876" t="s">
        <v>14</v>
      </c>
      <c r="H876" t="s">
        <v>15</v>
      </c>
      <c r="I876">
        <v>1</v>
      </c>
      <c r="J876" t="s">
        <v>23</v>
      </c>
      <c r="K876" t="s">
        <v>32</v>
      </c>
      <c r="L876">
        <v>53</v>
      </c>
      <c r="M876" t="str" cm="1">
        <f t="array" ref="M876">_xlfn.IFS(
L876&gt;50,"Old Age",
L876&gt;=31,"Middle Age",
L876&lt;31,"Young Age"
)</f>
        <v>Old Age</v>
      </c>
      <c r="N876" t="s">
        <v>15</v>
      </c>
      <c r="O876" t="str" cm="1">
        <f t="array" ref="O876">_xlfn.IFS(D876&gt;120000, "High Income", D876&gt;=80000, "Average Income", D876&lt;80000, "Low Income")</f>
        <v>Low Income</v>
      </c>
      <c r="P876">
        <f>IF(Table24[[#This Row],[Purchased Bike]]="Yes",1,0)</f>
        <v>1</v>
      </c>
    </row>
    <row r="877" spans="1:16" x14ac:dyDescent="0.25">
      <c r="A877">
        <v>27279</v>
      </c>
      <c r="B877" t="s">
        <v>35</v>
      </c>
      <c r="C877" t="s">
        <v>33</v>
      </c>
      <c r="D877" s="2">
        <v>70000</v>
      </c>
      <c r="E877">
        <v>2</v>
      </c>
      <c r="F877" t="s">
        <v>13</v>
      </c>
      <c r="G877" t="s">
        <v>14</v>
      </c>
      <c r="H877" t="s">
        <v>15</v>
      </c>
      <c r="I877">
        <v>0</v>
      </c>
      <c r="J877" t="s">
        <v>22</v>
      </c>
      <c r="K877" t="s">
        <v>32</v>
      </c>
      <c r="L877">
        <v>38</v>
      </c>
      <c r="M877" t="str" cm="1">
        <f t="array" ref="M877">_xlfn.IFS(
L877&gt;50,"Old Age",
L877&gt;=31,"Middle Age",
L877&lt;31,"Young Age"
)</f>
        <v>Middle Age</v>
      </c>
      <c r="N877" t="s">
        <v>15</v>
      </c>
      <c r="O877" t="str" cm="1">
        <f t="array" ref="O877">_xlfn.IFS(D877&gt;120000, "High Income", D877&gt;=80000, "Average Income", D877&lt;80000, "Low Income")</f>
        <v>Low Income</v>
      </c>
      <c r="P877">
        <f>IF(Table24[[#This Row],[Purchased Bike]]="Yes",1,0)</f>
        <v>1</v>
      </c>
    </row>
    <row r="878" spans="1:16" hidden="1" x14ac:dyDescent="0.25">
      <c r="A878">
        <v>18322</v>
      </c>
      <c r="B878" t="s">
        <v>35</v>
      </c>
      <c r="C878" t="s">
        <v>34</v>
      </c>
      <c r="D878" s="2">
        <v>30000</v>
      </c>
      <c r="E878">
        <v>0</v>
      </c>
      <c r="F878" t="s">
        <v>29</v>
      </c>
      <c r="G878" t="s">
        <v>20</v>
      </c>
      <c r="H878" t="s">
        <v>18</v>
      </c>
      <c r="I878">
        <v>2</v>
      </c>
      <c r="J878" t="s">
        <v>16</v>
      </c>
      <c r="K878" t="s">
        <v>32</v>
      </c>
      <c r="L878">
        <v>26</v>
      </c>
      <c r="M878" t="str" cm="1">
        <f t="array" ref="M878">_xlfn.IFS(
L878&gt;50,"Old Age",
L878&gt;=31,"Middle Age",
L878&lt;31,"Young Age"
)</f>
        <v>Young Age</v>
      </c>
      <c r="N878" t="s">
        <v>18</v>
      </c>
      <c r="O878" t="str" cm="1">
        <f t="array" ref="O878">_xlfn.IFS(D878&gt;120000, "High Income", D878&gt;=80000, "Average Income", D878&lt;80000, "Low Income")</f>
        <v>Low Income</v>
      </c>
      <c r="P878">
        <f>IF(Table24[[#This Row],[Purchased Bike]]="Yes",1,0)</f>
        <v>0</v>
      </c>
    </row>
    <row r="879" spans="1:16" hidden="1" x14ac:dyDescent="0.25">
      <c r="A879">
        <v>15879</v>
      </c>
      <c r="B879" t="s">
        <v>34</v>
      </c>
      <c r="C879" t="s">
        <v>34</v>
      </c>
      <c r="D879" s="2">
        <v>70000</v>
      </c>
      <c r="E879">
        <v>5</v>
      </c>
      <c r="F879" t="s">
        <v>13</v>
      </c>
      <c r="G879" t="s">
        <v>28</v>
      </c>
      <c r="H879" t="s">
        <v>15</v>
      </c>
      <c r="I879">
        <v>2</v>
      </c>
      <c r="J879" t="s">
        <v>22</v>
      </c>
      <c r="K879" t="s">
        <v>32</v>
      </c>
      <c r="L879">
        <v>61</v>
      </c>
      <c r="M879" t="str" cm="1">
        <f t="array" ref="M879">_xlfn.IFS(
L879&gt;50,"Old Age",
L879&gt;=31,"Middle Age",
L879&lt;31,"Young Age"
)</f>
        <v>Old Age</v>
      </c>
      <c r="N879" t="s">
        <v>18</v>
      </c>
      <c r="O879" t="str" cm="1">
        <f t="array" ref="O879">_xlfn.IFS(D879&gt;120000, "High Income", D879&gt;=80000, "Average Income", D879&lt;80000, "Low Income")</f>
        <v>Low Income</v>
      </c>
      <c r="P879">
        <f>IF(Table24[[#This Row],[Purchased Bike]]="Yes",1,0)</f>
        <v>0</v>
      </c>
    </row>
    <row r="880" spans="1:16" hidden="1" x14ac:dyDescent="0.25">
      <c r="A880">
        <v>28278</v>
      </c>
      <c r="B880" t="s">
        <v>34</v>
      </c>
      <c r="C880" t="s">
        <v>34</v>
      </c>
      <c r="D880" s="2">
        <v>50000</v>
      </c>
      <c r="E880">
        <v>2</v>
      </c>
      <c r="F880" t="s">
        <v>31</v>
      </c>
      <c r="G880" t="s">
        <v>28</v>
      </c>
      <c r="H880" t="s">
        <v>15</v>
      </c>
      <c r="I880">
        <v>2</v>
      </c>
      <c r="J880" t="s">
        <v>23</v>
      </c>
      <c r="K880" t="s">
        <v>32</v>
      </c>
      <c r="L880">
        <v>71</v>
      </c>
      <c r="M880" t="str" cm="1">
        <f t="array" ref="M880">_xlfn.IFS(
L880&gt;50,"Old Age",
L880&gt;=31,"Middle Age",
L880&lt;31,"Young Age"
)</f>
        <v>Old Age</v>
      </c>
      <c r="N880" t="s">
        <v>18</v>
      </c>
      <c r="O880" t="str" cm="1">
        <f t="array" ref="O880">_xlfn.IFS(D880&gt;120000, "High Income", D880&gt;=80000, "Average Income", D880&lt;80000, "Low Income")</f>
        <v>Low Income</v>
      </c>
      <c r="P880">
        <f>IF(Table24[[#This Row],[Purchased Bike]]="Yes",1,0)</f>
        <v>0</v>
      </c>
    </row>
    <row r="881" spans="1:16" hidden="1" x14ac:dyDescent="0.25">
      <c r="A881">
        <v>24416</v>
      </c>
      <c r="B881" t="s">
        <v>34</v>
      </c>
      <c r="C881" t="s">
        <v>34</v>
      </c>
      <c r="D881" s="2">
        <v>90000</v>
      </c>
      <c r="E881">
        <v>4</v>
      </c>
      <c r="F881" t="s">
        <v>27</v>
      </c>
      <c r="G881" t="s">
        <v>21</v>
      </c>
      <c r="H881" t="s">
        <v>15</v>
      </c>
      <c r="I881">
        <v>2</v>
      </c>
      <c r="J881" t="s">
        <v>26</v>
      </c>
      <c r="K881" t="s">
        <v>32</v>
      </c>
      <c r="L881">
        <v>45</v>
      </c>
      <c r="M881" t="str" cm="1">
        <f t="array" ref="M881">_xlfn.IFS(
L881&gt;50,"Old Age",
L881&gt;=31,"Middle Age",
L881&lt;31,"Young Age"
)</f>
        <v>Middle Age</v>
      </c>
      <c r="N881" t="s">
        <v>18</v>
      </c>
      <c r="O881" t="str" cm="1">
        <f t="array" ref="O881">_xlfn.IFS(D881&gt;120000, "High Income", D881&gt;=80000, "Average Income", D881&lt;80000, "Low Income")</f>
        <v>Average Income</v>
      </c>
      <c r="P881">
        <f>IF(Table24[[#This Row],[Purchased Bike]]="Yes",1,0)</f>
        <v>0</v>
      </c>
    </row>
    <row r="882" spans="1:16" x14ac:dyDescent="0.25">
      <c r="A882">
        <v>28066</v>
      </c>
      <c r="B882" t="s">
        <v>34</v>
      </c>
      <c r="C882" t="s">
        <v>34</v>
      </c>
      <c r="D882" s="2">
        <v>80000</v>
      </c>
      <c r="E882">
        <v>2</v>
      </c>
      <c r="F882" t="s">
        <v>31</v>
      </c>
      <c r="G882" t="s">
        <v>21</v>
      </c>
      <c r="H882" t="s">
        <v>15</v>
      </c>
      <c r="I882">
        <v>0</v>
      </c>
      <c r="J882" t="s">
        <v>16</v>
      </c>
      <c r="K882" t="s">
        <v>32</v>
      </c>
      <c r="L882">
        <v>37</v>
      </c>
      <c r="M882" t="str" cm="1">
        <f t="array" ref="M882">_xlfn.IFS(
L882&gt;50,"Old Age",
L882&gt;=31,"Middle Age",
L882&lt;31,"Young Age"
)</f>
        <v>Middle Age</v>
      </c>
      <c r="N882" t="s">
        <v>15</v>
      </c>
      <c r="O882" t="str" cm="1">
        <f t="array" ref="O882">_xlfn.IFS(D882&gt;120000, "High Income", D882&gt;=80000, "Average Income", D882&lt;80000, "Low Income")</f>
        <v>Average Income</v>
      </c>
      <c r="P882">
        <f>IF(Table24[[#This Row],[Purchased Bike]]="Yes",1,0)</f>
        <v>1</v>
      </c>
    </row>
    <row r="883" spans="1:16" hidden="1" x14ac:dyDescent="0.25">
      <c r="A883">
        <v>11275</v>
      </c>
      <c r="B883" t="s">
        <v>34</v>
      </c>
      <c r="C883" t="s">
        <v>33</v>
      </c>
      <c r="D883" s="2">
        <v>80000</v>
      </c>
      <c r="E883">
        <v>4</v>
      </c>
      <c r="F883" t="s">
        <v>31</v>
      </c>
      <c r="G883" t="s">
        <v>28</v>
      </c>
      <c r="H883" t="s">
        <v>15</v>
      </c>
      <c r="I883">
        <v>2</v>
      </c>
      <c r="J883" t="s">
        <v>16</v>
      </c>
      <c r="K883" t="s">
        <v>32</v>
      </c>
      <c r="L883">
        <v>72</v>
      </c>
      <c r="M883" t="str" cm="1">
        <f t="array" ref="M883">_xlfn.IFS(
L883&gt;50,"Old Age",
L883&gt;=31,"Middle Age",
L883&lt;31,"Young Age"
)</f>
        <v>Old Age</v>
      </c>
      <c r="N883" t="s">
        <v>15</v>
      </c>
      <c r="O883" t="str" cm="1">
        <f t="array" ref="O883">_xlfn.IFS(D883&gt;120000, "High Income", D883&gt;=80000, "Average Income", D883&lt;80000, "Low Income")</f>
        <v>Average Income</v>
      </c>
      <c r="P883">
        <f>IF(Table24[[#This Row],[Purchased Bike]]="Yes",1,0)</f>
        <v>1</v>
      </c>
    </row>
    <row r="884" spans="1:16" hidden="1" x14ac:dyDescent="0.25">
      <c r="A884">
        <v>14872</v>
      </c>
      <c r="B884" t="s">
        <v>34</v>
      </c>
      <c r="C884" t="s">
        <v>34</v>
      </c>
      <c r="D884" s="2">
        <v>30000</v>
      </c>
      <c r="E884">
        <v>0</v>
      </c>
      <c r="F884" t="s">
        <v>31</v>
      </c>
      <c r="G884" t="s">
        <v>14</v>
      </c>
      <c r="H884" t="s">
        <v>15</v>
      </c>
      <c r="I884">
        <v>0</v>
      </c>
      <c r="J884" t="s">
        <v>16</v>
      </c>
      <c r="K884" t="s">
        <v>32</v>
      </c>
      <c r="L884">
        <v>32</v>
      </c>
      <c r="M884" t="str" cm="1">
        <f t="array" ref="M884">_xlfn.IFS(
L884&gt;50,"Old Age",
L884&gt;=31,"Middle Age",
L884&lt;31,"Young Age"
)</f>
        <v>Middle Age</v>
      </c>
      <c r="N884" t="s">
        <v>18</v>
      </c>
      <c r="O884" t="str" cm="1">
        <f t="array" ref="O884">_xlfn.IFS(D884&gt;120000, "High Income", D884&gt;=80000, "Average Income", D884&lt;80000, "Low Income")</f>
        <v>Low Income</v>
      </c>
      <c r="P884">
        <f>IF(Table24[[#This Row],[Purchased Bike]]="Yes",1,0)</f>
        <v>0</v>
      </c>
    </row>
    <row r="885" spans="1:16" x14ac:dyDescent="0.25">
      <c r="A885">
        <v>16151</v>
      </c>
      <c r="B885" t="s">
        <v>34</v>
      </c>
      <c r="C885" t="s">
        <v>33</v>
      </c>
      <c r="D885" s="2">
        <v>60000</v>
      </c>
      <c r="E885">
        <v>1</v>
      </c>
      <c r="F885" t="s">
        <v>13</v>
      </c>
      <c r="G885" t="s">
        <v>21</v>
      </c>
      <c r="H885" t="s">
        <v>15</v>
      </c>
      <c r="I885">
        <v>1</v>
      </c>
      <c r="J885" t="s">
        <v>22</v>
      </c>
      <c r="K885" t="s">
        <v>32</v>
      </c>
      <c r="L885">
        <v>48</v>
      </c>
      <c r="M885" t="str" cm="1">
        <f t="array" ref="M885">_xlfn.IFS(
L885&gt;50,"Old Age",
L885&gt;=31,"Middle Age",
L885&lt;31,"Young Age"
)</f>
        <v>Middle Age</v>
      </c>
      <c r="N885" t="s">
        <v>15</v>
      </c>
      <c r="O885" t="str" cm="1">
        <f t="array" ref="O885">_xlfn.IFS(D885&gt;120000, "High Income", D885&gt;=80000, "Average Income", D885&lt;80000, "Low Income")</f>
        <v>Low Income</v>
      </c>
      <c r="P885">
        <f>IF(Table24[[#This Row],[Purchased Bike]]="Yes",1,0)</f>
        <v>1</v>
      </c>
    </row>
    <row r="886" spans="1:16" hidden="1" x14ac:dyDescent="0.25">
      <c r="A886">
        <v>19731</v>
      </c>
      <c r="B886" t="s">
        <v>34</v>
      </c>
      <c r="C886" t="s">
        <v>34</v>
      </c>
      <c r="D886" s="2">
        <v>80000</v>
      </c>
      <c r="E886">
        <v>4</v>
      </c>
      <c r="F886" t="s">
        <v>31</v>
      </c>
      <c r="G886" t="s">
        <v>28</v>
      </c>
      <c r="H886" t="s">
        <v>15</v>
      </c>
      <c r="I886">
        <v>2</v>
      </c>
      <c r="J886" t="s">
        <v>23</v>
      </c>
      <c r="K886" t="s">
        <v>32</v>
      </c>
      <c r="L886">
        <v>68</v>
      </c>
      <c r="M886" t="str" cm="1">
        <f t="array" ref="M886">_xlfn.IFS(
L886&gt;50,"Old Age",
L886&gt;=31,"Middle Age",
L886&lt;31,"Young Age"
)</f>
        <v>Old Age</v>
      </c>
      <c r="N886" t="s">
        <v>18</v>
      </c>
      <c r="O886" t="str" cm="1">
        <f t="array" ref="O886">_xlfn.IFS(D886&gt;120000, "High Income", D886&gt;=80000, "Average Income", D886&lt;80000, "Low Income")</f>
        <v>Average Income</v>
      </c>
      <c r="P886">
        <f>IF(Table24[[#This Row],[Purchased Bike]]="Yes",1,0)</f>
        <v>0</v>
      </c>
    </row>
    <row r="887" spans="1:16" hidden="1" x14ac:dyDescent="0.25">
      <c r="A887">
        <v>23801</v>
      </c>
      <c r="B887" t="s">
        <v>34</v>
      </c>
      <c r="C887" t="s">
        <v>33</v>
      </c>
      <c r="D887" s="2">
        <v>20000</v>
      </c>
      <c r="E887">
        <v>2</v>
      </c>
      <c r="F887" t="s">
        <v>29</v>
      </c>
      <c r="G887" t="s">
        <v>20</v>
      </c>
      <c r="H887" t="s">
        <v>15</v>
      </c>
      <c r="I887">
        <v>2</v>
      </c>
      <c r="J887" t="s">
        <v>16</v>
      </c>
      <c r="K887" t="s">
        <v>32</v>
      </c>
      <c r="L887">
        <v>49</v>
      </c>
      <c r="M887" t="str" cm="1">
        <f t="array" ref="M887">_xlfn.IFS(
L887&gt;50,"Old Age",
L887&gt;=31,"Middle Age",
L887&lt;31,"Young Age"
)</f>
        <v>Middle Age</v>
      </c>
      <c r="N887" t="s">
        <v>18</v>
      </c>
      <c r="O887" t="str" cm="1">
        <f t="array" ref="O887">_xlfn.IFS(D887&gt;120000, "High Income", D887&gt;=80000, "Average Income", D887&lt;80000, "Low Income")</f>
        <v>Low Income</v>
      </c>
      <c r="P887">
        <f>IF(Table24[[#This Row],[Purchased Bike]]="Yes",1,0)</f>
        <v>0</v>
      </c>
    </row>
    <row r="888" spans="1:16" hidden="1" x14ac:dyDescent="0.25">
      <c r="A888">
        <v>11807</v>
      </c>
      <c r="B888" t="s">
        <v>34</v>
      </c>
      <c r="C888" t="s">
        <v>34</v>
      </c>
      <c r="D888" s="2">
        <v>70000</v>
      </c>
      <c r="E888">
        <v>3</v>
      </c>
      <c r="F888" t="s">
        <v>31</v>
      </c>
      <c r="G888" t="s">
        <v>21</v>
      </c>
      <c r="H888" t="s">
        <v>15</v>
      </c>
      <c r="I888">
        <v>0</v>
      </c>
      <c r="J888" t="s">
        <v>22</v>
      </c>
      <c r="K888" t="s">
        <v>32</v>
      </c>
      <c r="L888">
        <v>34</v>
      </c>
      <c r="M888" t="str" cm="1">
        <f t="array" ref="M888">_xlfn.IFS(
L888&gt;50,"Old Age",
L888&gt;=31,"Middle Age",
L888&lt;31,"Young Age"
)</f>
        <v>Middle Age</v>
      </c>
      <c r="N888" t="s">
        <v>18</v>
      </c>
      <c r="O888" t="str" cm="1">
        <f t="array" ref="O888">_xlfn.IFS(D888&gt;120000, "High Income", D888&gt;=80000, "Average Income", D888&lt;80000, "Low Income")</f>
        <v>Low Income</v>
      </c>
      <c r="P888">
        <f>IF(Table24[[#This Row],[Purchased Bike]]="Yes",1,0)</f>
        <v>0</v>
      </c>
    </row>
    <row r="889" spans="1:16" hidden="1" x14ac:dyDescent="0.25">
      <c r="A889">
        <v>11622</v>
      </c>
      <c r="B889" t="s">
        <v>34</v>
      </c>
      <c r="C889" t="s">
        <v>34</v>
      </c>
      <c r="D889" s="2">
        <v>50000</v>
      </c>
      <c r="E889">
        <v>0</v>
      </c>
      <c r="F889" t="s">
        <v>31</v>
      </c>
      <c r="G889" t="s">
        <v>14</v>
      </c>
      <c r="H889" t="s">
        <v>15</v>
      </c>
      <c r="I889">
        <v>0</v>
      </c>
      <c r="J889" t="s">
        <v>16</v>
      </c>
      <c r="K889" t="s">
        <v>32</v>
      </c>
      <c r="L889">
        <v>32</v>
      </c>
      <c r="M889" t="str" cm="1">
        <f t="array" ref="M889">_xlfn.IFS(
L889&gt;50,"Old Age",
L889&gt;=31,"Middle Age",
L889&lt;31,"Young Age"
)</f>
        <v>Middle Age</v>
      </c>
      <c r="N889" t="s">
        <v>18</v>
      </c>
      <c r="O889" t="str" cm="1">
        <f t="array" ref="O889">_xlfn.IFS(D889&gt;120000, "High Income", D889&gt;=80000, "Average Income", D889&lt;80000, "Low Income")</f>
        <v>Low Income</v>
      </c>
      <c r="P889">
        <f>IF(Table24[[#This Row],[Purchased Bike]]="Yes",1,0)</f>
        <v>0</v>
      </c>
    </row>
    <row r="890" spans="1:16" hidden="1" x14ac:dyDescent="0.25">
      <c r="A890">
        <v>26597</v>
      </c>
      <c r="B890" t="s">
        <v>35</v>
      </c>
      <c r="C890" t="s">
        <v>33</v>
      </c>
      <c r="D890" s="2">
        <v>60000</v>
      </c>
      <c r="E890">
        <v>4</v>
      </c>
      <c r="F890" t="s">
        <v>13</v>
      </c>
      <c r="G890" t="s">
        <v>14</v>
      </c>
      <c r="H890" t="s">
        <v>18</v>
      </c>
      <c r="I890">
        <v>2</v>
      </c>
      <c r="J890" t="s">
        <v>16</v>
      </c>
      <c r="K890" t="s">
        <v>32</v>
      </c>
      <c r="L890">
        <v>42</v>
      </c>
      <c r="M890" t="str" cm="1">
        <f t="array" ref="M890">_xlfn.IFS(
L890&gt;50,"Old Age",
L890&gt;=31,"Middle Age",
L890&lt;31,"Young Age"
)</f>
        <v>Middle Age</v>
      </c>
      <c r="N890" t="s">
        <v>18</v>
      </c>
      <c r="O890" t="str" cm="1">
        <f t="array" ref="O890">_xlfn.IFS(D890&gt;120000, "High Income", D890&gt;=80000, "Average Income", D890&lt;80000, "Low Income")</f>
        <v>Low Income</v>
      </c>
      <c r="P890">
        <f>IF(Table24[[#This Row],[Purchased Bike]]="Yes",1,0)</f>
        <v>0</v>
      </c>
    </row>
    <row r="891" spans="1:16" x14ac:dyDescent="0.25">
      <c r="A891">
        <v>27074</v>
      </c>
      <c r="B891" t="s">
        <v>34</v>
      </c>
      <c r="C891" t="s">
        <v>33</v>
      </c>
      <c r="D891" s="2">
        <v>70000</v>
      </c>
      <c r="E891">
        <v>1</v>
      </c>
      <c r="F891" t="s">
        <v>31</v>
      </c>
      <c r="G891" t="s">
        <v>14</v>
      </c>
      <c r="H891" t="s">
        <v>15</v>
      </c>
      <c r="I891">
        <v>0</v>
      </c>
      <c r="J891" t="s">
        <v>16</v>
      </c>
      <c r="K891" t="s">
        <v>32</v>
      </c>
      <c r="L891">
        <v>35</v>
      </c>
      <c r="M891" t="str" cm="1">
        <f t="array" ref="M891">_xlfn.IFS(
L891&gt;50,"Old Age",
L891&gt;=31,"Middle Age",
L891&lt;31,"Young Age"
)</f>
        <v>Middle Age</v>
      </c>
      <c r="N891" t="s">
        <v>15</v>
      </c>
      <c r="O891" t="str" cm="1">
        <f t="array" ref="O891">_xlfn.IFS(D891&gt;120000, "High Income", D891&gt;=80000, "Average Income", D891&lt;80000, "Low Income")</f>
        <v>Low Income</v>
      </c>
      <c r="P891">
        <f>IF(Table24[[#This Row],[Purchased Bike]]="Yes",1,0)</f>
        <v>1</v>
      </c>
    </row>
    <row r="892" spans="1:16" hidden="1" x14ac:dyDescent="0.25">
      <c r="A892">
        <v>19228</v>
      </c>
      <c r="B892" t="s">
        <v>34</v>
      </c>
      <c r="C892" t="s">
        <v>33</v>
      </c>
      <c r="D892" s="2">
        <v>40000</v>
      </c>
      <c r="E892">
        <v>2</v>
      </c>
      <c r="F892" t="s">
        <v>19</v>
      </c>
      <c r="G892" t="s">
        <v>20</v>
      </c>
      <c r="H892" t="s">
        <v>15</v>
      </c>
      <c r="I892">
        <v>1</v>
      </c>
      <c r="J892" t="s">
        <v>16</v>
      </c>
      <c r="K892" t="s">
        <v>32</v>
      </c>
      <c r="L892">
        <v>48</v>
      </c>
      <c r="M892" t="str" cm="1">
        <f t="array" ref="M892">_xlfn.IFS(
L892&gt;50,"Old Age",
L892&gt;=31,"Middle Age",
L892&lt;31,"Young Age"
)</f>
        <v>Middle Age</v>
      </c>
      <c r="N892" t="s">
        <v>18</v>
      </c>
      <c r="O892" t="str" cm="1">
        <f t="array" ref="O892">_xlfn.IFS(D892&gt;120000, "High Income", D892&gt;=80000, "Average Income", D892&lt;80000, "Low Income")</f>
        <v>Low Income</v>
      </c>
      <c r="P892">
        <f>IF(Table24[[#This Row],[Purchased Bike]]="Yes",1,0)</f>
        <v>0</v>
      </c>
    </row>
    <row r="893" spans="1:16" hidden="1" x14ac:dyDescent="0.25">
      <c r="A893">
        <v>13415</v>
      </c>
      <c r="B893" t="s">
        <v>35</v>
      </c>
      <c r="C893" t="s">
        <v>34</v>
      </c>
      <c r="D893" s="2">
        <v>100000</v>
      </c>
      <c r="E893">
        <v>1</v>
      </c>
      <c r="F893" t="s">
        <v>31</v>
      </c>
      <c r="G893" t="s">
        <v>28</v>
      </c>
      <c r="H893" t="s">
        <v>15</v>
      </c>
      <c r="I893">
        <v>3</v>
      </c>
      <c r="J893" t="s">
        <v>22</v>
      </c>
      <c r="K893" t="s">
        <v>32</v>
      </c>
      <c r="L893">
        <v>73</v>
      </c>
      <c r="M893" t="str" cm="1">
        <f t="array" ref="M893">_xlfn.IFS(
L893&gt;50,"Old Age",
L893&gt;=31,"Middle Age",
L893&lt;31,"Young Age"
)</f>
        <v>Old Age</v>
      </c>
      <c r="N893" t="s">
        <v>15</v>
      </c>
      <c r="O893" t="str" cm="1">
        <f t="array" ref="O893">_xlfn.IFS(D893&gt;120000, "High Income", D893&gt;=80000, "Average Income", D893&lt;80000, "Low Income")</f>
        <v>Average Income</v>
      </c>
      <c r="P893">
        <f>IF(Table24[[#This Row],[Purchased Bike]]="Yes",1,0)</f>
        <v>1</v>
      </c>
    </row>
    <row r="894" spans="1:16" x14ac:dyDescent="0.25">
      <c r="A894">
        <v>17000</v>
      </c>
      <c r="B894" t="s">
        <v>35</v>
      </c>
      <c r="C894" t="s">
        <v>33</v>
      </c>
      <c r="D894" s="2">
        <v>70000</v>
      </c>
      <c r="E894">
        <v>4</v>
      </c>
      <c r="F894" t="s">
        <v>13</v>
      </c>
      <c r="G894" t="s">
        <v>14</v>
      </c>
      <c r="H894" t="s">
        <v>15</v>
      </c>
      <c r="I894">
        <v>2</v>
      </c>
      <c r="J894" t="s">
        <v>22</v>
      </c>
      <c r="K894" t="s">
        <v>32</v>
      </c>
      <c r="L894">
        <v>43</v>
      </c>
      <c r="M894" t="str" cm="1">
        <f t="array" ref="M894">_xlfn.IFS(
L894&gt;50,"Old Age",
L894&gt;=31,"Middle Age",
L894&lt;31,"Young Age"
)</f>
        <v>Middle Age</v>
      </c>
      <c r="N894" t="s">
        <v>15</v>
      </c>
      <c r="O894" t="str" cm="1">
        <f t="array" ref="O894">_xlfn.IFS(D894&gt;120000, "High Income", D894&gt;=80000, "Average Income", D894&lt;80000, "Low Income")</f>
        <v>Low Income</v>
      </c>
      <c r="P894">
        <f>IF(Table24[[#This Row],[Purchased Bike]]="Yes",1,0)</f>
        <v>1</v>
      </c>
    </row>
    <row r="895" spans="1:16" hidden="1" x14ac:dyDescent="0.25">
      <c r="A895">
        <v>14569</v>
      </c>
      <c r="B895" t="s">
        <v>34</v>
      </c>
      <c r="C895" t="s">
        <v>34</v>
      </c>
      <c r="D895" s="2">
        <v>60000</v>
      </c>
      <c r="E895">
        <v>1</v>
      </c>
      <c r="F895" t="s">
        <v>31</v>
      </c>
      <c r="G895" t="s">
        <v>21</v>
      </c>
      <c r="H895" t="s">
        <v>15</v>
      </c>
      <c r="I895">
        <v>0</v>
      </c>
      <c r="J895" t="s">
        <v>16</v>
      </c>
      <c r="K895" t="s">
        <v>32</v>
      </c>
      <c r="L895">
        <v>35</v>
      </c>
      <c r="M895" t="str" cm="1">
        <f t="array" ref="M895">_xlfn.IFS(
L895&gt;50,"Old Age",
L895&gt;=31,"Middle Age",
L895&lt;31,"Young Age"
)</f>
        <v>Middle Age</v>
      </c>
      <c r="N895" t="s">
        <v>18</v>
      </c>
      <c r="O895" t="str" cm="1">
        <f t="array" ref="O895">_xlfn.IFS(D895&gt;120000, "High Income", D895&gt;=80000, "Average Income", D895&lt;80000, "Low Income")</f>
        <v>Low Income</v>
      </c>
      <c r="P895">
        <f>IF(Table24[[#This Row],[Purchased Bike]]="Yes",1,0)</f>
        <v>0</v>
      </c>
    </row>
    <row r="896" spans="1:16" x14ac:dyDescent="0.25">
      <c r="A896">
        <v>13873</v>
      </c>
      <c r="B896" t="s">
        <v>34</v>
      </c>
      <c r="C896" t="s">
        <v>34</v>
      </c>
      <c r="D896" s="2">
        <v>70000</v>
      </c>
      <c r="E896">
        <v>3</v>
      </c>
      <c r="F896" t="s">
        <v>31</v>
      </c>
      <c r="G896" t="s">
        <v>21</v>
      </c>
      <c r="H896" t="s">
        <v>15</v>
      </c>
      <c r="I896">
        <v>0</v>
      </c>
      <c r="J896" t="s">
        <v>16</v>
      </c>
      <c r="K896" t="s">
        <v>32</v>
      </c>
      <c r="L896">
        <v>35</v>
      </c>
      <c r="M896" t="str" cm="1">
        <f t="array" ref="M896">_xlfn.IFS(
L896&gt;50,"Old Age",
L896&gt;=31,"Middle Age",
L896&lt;31,"Young Age"
)</f>
        <v>Middle Age</v>
      </c>
      <c r="N896" t="s">
        <v>15</v>
      </c>
      <c r="O896" t="str" cm="1">
        <f t="array" ref="O896">_xlfn.IFS(D896&gt;120000, "High Income", D896&gt;=80000, "Average Income", D896&lt;80000, "Low Income")</f>
        <v>Low Income</v>
      </c>
      <c r="P896">
        <f>IF(Table24[[#This Row],[Purchased Bike]]="Yes",1,0)</f>
        <v>1</v>
      </c>
    </row>
    <row r="897" spans="1:16" hidden="1" x14ac:dyDescent="0.25">
      <c r="A897">
        <v>20401</v>
      </c>
      <c r="B897" t="s">
        <v>34</v>
      </c>
      <c r="C897" t="s">
        <v>33</v>
      </c>
      <c r="D897" s="2">
        <v>50000</v>
      </c>
      <c r="E897">
        <v>4</v>
      </c>
      <c r="F897" t="s">
        <v>13</v>
      </c>
      <c r="G897" t="s">
        <v>28</v>
      </c>
      <c r="H897" t="s">
        <v>15</v>
      </c>
      <c r="I897">
        <v>2</v>
      </c>
      <c r="J897" t="s">
        <v>26</v>
      </c>
      <c r="K897" t="s">
        <v>32</v>
      </c>
      <c r="L897">
        <v>64</v>
      </c>
      <c r="M897" t="str" cm="1">
        <f t="array" ref="M897">_xlfn.IFS(
L897&gt;50,"Old Age",
L897&gt;=31,"Middle Age",
L897&lt;31,"Young Age"
)</f>
        <v>Old Age</v>
      </c>
      <c r="N897" t="s">
        <v>15</v>
      </c>
      <c r="O897" t="str" cm="1">
        <f t="array" ref="O897">_xlfn.IFS(D897&gt;120000, "High Income", D897&gt;=80000, "Average Income", D897&lt;80000, "Low Income")</f>
        <v>Low Income</v>
      </c>
      <c r="P897">
        <f>IF(Table24[[#This Row],[Purchased Bike]]="Yes",1,0)</f>
        <v>1</v>
      </c>
    </row>
    <row r="898" spans="1:16" x14ac:dyDescent="0.25">
      <c r="A898">
        <v>21583</v>
      </c>
      <c r="B898" t="s">
        <v>34</v>
      </c>
      <c r="C898" t="s">
        <v>33</v>
      </c>
      <c r="D898" s="2">
        <v>50000</v>
      </c>
      <c r="E898">
        <v>1</v>
      </c>
      <c r="F898" t="s">
        <v>13</v>
      </c>
      <c r="G898" t="s">
        <v>14</v>
      </c>
      <c r="H898" t="s">
        <v>15</v>
      </c>
      <c r="I898">
        <v>0</v>
      </c>
      <c r="J898" t="s">
        <v>16</v>
      </c>
      <c r="K898" t="s">
        <v>32</v>
      </c>
      <c r="L898">
        <v>34</v>
      </c>
      <c r="M898" t="str" cm="1">
        <f t="array" ref="M898">_xlfn.IFS(
L898&gt;50,"Old Age",
L898&gt;=31,"Middle Age",
L898&lt;31,"Young Age"
)</f>
        <v>Middle Age</v>
      </c>
      <c r="N898" t="s">
        <v>15</v>
      </c>
      <c r="O898" t="str" cm="1">
        <f t="array" ref="O898">_xlfn.IFS(D898&gt;120000, "High Income", D898&gt;=80000, "Average Income", D898&lt;80000, "Low Income")</f>
        <v>Low Income</v>
      </c>
      <c r="P898">
        <f>IF(Table24[[#This Row],[Purchased Bike]]="Yes",1,0)</f>
        <v>1</v>
      </c>
    </row>
    <row r="899" spans="1:16" hidden="1" x14ac:dyDescent="0.25">
      <c r="A899">
        <v>12029</v>
      </c>
      <c r="B899" t="s">
        <v>34</v>
      </c>
      <c r="C899" t="s">
        <v>34</v>
      </c>
      <c r="D899" s="2">
        <v>30000</v>
      </c>
      <c r="E899">
        <v>0</v>
      </c>
      <c r="F899" t="s">
        <v>29</v>
      </c>
      <c r="G899" t="s">
        <v>20</v>
      </c>
      <c r="H899" t="s">
        <v>18</v>
      </c>
      <c r="I899">
        <v>2</v>
      </c>
      <c r="J899" t="s">
        <v>16</v>
      </c>
      <c r="K899" t="s">
        <v>32</v>
      </c>
      <c r="L899">
        <v>28</v>
      </c>
      <c r="M899" t="str" cm="1">
        <f t="array" ref="M899">_xlfn.IFS(
L899&gt;50,"Old Age",
L899&gt;=31,"Middle Age",
L899&lt;31,"Young Age"
)</f>
        <v>Young Age</v>
      </c>
      <c r="N899" t="s">
        <v>18</v>
      </c>
      <c r="O899" t="str" cm="1">
        <f t="array" ref="O899">_xlfn.IFS(D899&gt;120000, "High Income", D899&gt;=80000, "Average Income", D899&lt;80000, "Low Income")</f>
        <v>Low Income</v>
      </c>
      <c r="P899">
        <f>IF(Table24[[#This Row],[Purchased Bike]]="Yes",1,0)</f>
        <v>0</v>
      </c>
    </row>
    <row r="900" spans="1:16" hidden="1" x14ac:dyDescent="0.25">
      <c r="A900">
        <v>18066</v>
      </c>
      <c r="B900" t="s">
        <v>35</v>
      </c>
      <c r="C900" t="s">
        <v>34</v>
      </c>
      <c r="D900" s="2">
        <v>70000</v>
      </c>
      <c r="E900">
        <v>5</v>
      </c>
      <c r="F900" t="s">
        <v>13</v>
      </c>
      <c r="G900" t="s">
        <v>28</v>
      </c>
      <c r="H900" t="s">
        <v>15</v>
      </c>
      <c r="I900">
        <v>3</v>
      </c>
      <c r="J900" t="s">
        <v>30</v>
      </c>
      <c r="K900" t="s">
        <v>32</v>
      </c>
      <c r="L900">
        <v>60</v>
      </c>
      <c r="M900" t="str" cm="1">
        <f t="array" ref="M900">_xlfn.IFS(
L900&gt;50,"Old Age",
L900&gt;=31,"Middle Age",
L900&lt;31,"Young Age"
)</f>
        <v>Old Age</v>
      </c>
      <c r="N900" t="s">
        <v>15</v>
      </c>
      <c r="O900" t="str" cm="1">
        <f t="array" ref="O900">_xlfn.IFS(D900&gt;120000, "High Income", D900&gt;=80000, "Average Income", D900&lt;80000, "Low Income")</f>
        <v>Low Income</v>
      </c>
      <c r="P900">
        <f>IF(Table24[[#This Row],[Purchased Bike]]="Yes",1,0)</f>
        <v>1</v>
      </c>
    </row>
    <row r="901" spans="1:16" hidden="1" x14ac:dyDescent="0.25">
      <c r="A901">
        <v>28192</v>
      </c>
      <c r="B901" t="s">
        <v>34</v>
      </c>
      <c r="C901" t="s">
        <v>33</v>
      </c>
      <c r="D901" s="2">
        <v>70000</v>
      </c>
      <c r="E901">
        <v>5</v>
      </c>
      <c r="F901" t="s">
        <v>31</v>
      </c>
      <c r="G901" t="s">
        <v>21</v>
      </c>
      <c r="H901" t="s">
        <v>15</v>
      </c>
      <c r="I901">
        <v>3</v>
      </c>
      <c r="J901" t="s">
        <v>30</v>
      </c>
      <c r="K901" t="s">
        <v>32</v>
      </c>
      <c r="L901">
        <v>46</v>
      </c>
      <c r="M901" t="str" cm="1">
        <f t="array" ref="M901">_xlfn.IFS(
L901&gt;50,"Old Age",
L901&gt;=31,"Middle Age",
L901&lt;31,"Young Age"
)</f>
        <v>Middle Age</v>
      </c>
      <c r="N901" t="s">
        <v>18</v>
      </c>
      <c r="O901" t="str" cm="1">
        <f t="array" ref="O901">_xlfn.IFS(D901&gt;120000, "High Income", D901&gt;=80000, "Average Income", D901&lt;80000, "Low Income")</f>
        <v>Low Income</v>
      </c>
      <c r="P901">
        <f>IF(Table24[[#This Row],[Purchased Bike]]="Yes",1,0)</f>
        <v>0</v>
      </c>
    </row>
    <row r="902" spans="1:16" x14ac:dyDescent="0.25">
      <c r="A902">
        <v>16122</v>
      </c>
      <c r="B902" t="s">
        <v>34</v>
      </c>
      <c r="C902" t="s">
        <v>34</v>
      </c>
      <c r="D902" s="2">
        <v>40000</v>
      </c>
      <c r="E902">
        <v>4</v>
      </c>
      <c r="F902" t="s">
        <v>27</v>
      </c>
      <c r="G902" t="s">
        <v>14</v>
      </c>
      <c r="H902" t="s">
        <v>15</v>
      </c>
      <c r="I902">
        <v>2</v>
      </c>
      <c r="J902" t="s">
        <v>16</v>
      </c>
      <c r="K902" t="s">
        <v>32</v>
      </c>
      <c r="L902">
        <v>44</v>
      </c>
      <c r="M902" t="str" cm="1">
        <f t="array" ref="M902">_xlfn.IFS(
L902&gt;50,"Old Age",
L902&gt;=31,"Middle Age",
L902&lt;31,"Young Age"
)</f>
        <v>Middle Age</v>
      </c>
      <c r="N902" t="s">
        <v>15</v>
      </c>
      <c r="O902" t="str" cm="1">
        <f t="array" ref="O902">_xlfn.IFS(D902&gt;120000, "High Income", D902&gt;=80000, "Average Income", D902&lt;80000, "Low Income")</f>
        <v>Low Income</v>
      </c>
      <c r="P902">
        <f>IF(Table24[[#This Row],[Purchased Bike]]="Yes",1,0)</f>
        <v>1</v>
      </c>
    </row>
    <row r="903" spans="1:16" x14ac:dyDescent="0.25">
      <c r="A903">
        <v>18607</v>
      </c>
      <c r="B903" t="s">
        <v>35</v>
      </c>
      <c r="C903" t="s">
        <v>33</v>
      </c>
      <c r="D903" s="2">
        <v>60000</v>
      </c>
      <c r="E903">
        <v>4</v>
      </c>
      <c r="F903" t="s">
        <v>13</v>
      </c>
      <c r="G903" t="s">
        <v>14</v>
      </c>
      <c r="H903" t="s">
        <v>15</v>
      </c>
      <c r="I903">
        <v>2</v>
      </c>
      <c r="J903" t="s">
        <v>22</v>
      </c>
      <c r="K903" t="s">
        <v>32</v>
      </c>
      <c r="L903">
        <v>42</v>
      </c>
      <c r="M903" t="str" cm="1">
        <f t="array" ref="M903">_xlfn.IFS(
L903&gt;50,"Old Age",
L903&gt;=31,"Middle Age",
L903&lt;31,"Young Age"
)</f>
        <v>Middle Age</v>
      </c>
      <c r="N903" t="s">
        <v>15</v>
      </c>
      <c r="O903" t="str" cm="1">
        <f t="array" ref="O903">_xlfn.IFS(D903&gt;120000, "High Income", D903&gt;=80000, "Average Income", D903&lt;80000, "Low Income")</f>
        <v>Low Income</v>
      </c>
      <c r="P903">
        <f>IF(Table24[[#This Row],[Purchased Bike]]="Yes",1,0)</f>
        <v>1</v>
      </c>
    </row>
    <row r="904" spans="1:16" hidden="1" x14ac:dyDescent="0.25">
      <c r="A904">
        <v>28858</v>
      </c>
      <c r="B904" t="s">
        <v>35</v>
      </c>
      <c r="C904" t="s">
        <v>34</v>
      </c>
      <c r="D904" s="2">
        <v>80000</v>
      </c>
      <c r="E904">
        <v>3</v>
      </c>
      <c r="F904" t="s">
        <v>13</v>
      </c>
      <c r="G904" t="s">
        <v>14</v>
      </c>
      <c r="H904" t="s">
        <v>15</v>
      </c>
      <c r="I904">
        <v>0</v>
      </c>
      <c r="J904" t="s">
        <v>22</v>
      </c>
      <c r="K904" t="s">
        <v>32</v>
      </c>
      <c r="L904">
        <v>40</v>
      </c>
      <c r="M904" t="str" cm="1">
        <f t="array" ref="M904">_xlfn.IFS(
L904&gt;50,"Old Age",
L904&gt;=31,"Middle Age",
L904&lt;31,"Young Age"
)</f>
        <v>Middle Age</v>
      </c>
      <c r="N904" t="s">
        <v>18</v>
      </c>
      <c r="O904" t="str" cm="1">
        <f t="array" ref="O904">_xlfn.IFS(D904&gt;120000, "High Income", D904&gt;=80000, "Average Income", D904&lt;80000, "Low Income")</f>
        <v>Average Income</v>
      </c>
      <c r="P904">
        <f>IF(Table24[[#This Row],[Purchased Bike]]="Yes",1,0)</f>
        <v>0</v>
      </c>
    </row>
    <row r="905" spans="1:16" hidden="1" x14ac:dyDescent="0.25">
      <c r="A905">
        <v>14432</v>
      </c>
      <c r="B905" t="s">
        <v>35</v>
      </c>
      <c r="C905" t="s">
        <v>34</v>
      </c>
      <c r="D905" s="2">
        <v>90000</v>
      </c>
      <c r="E905">
        <v>4</v>
      </c>
      <c r="F905" t="s">
        <v>31</v>
      </c>
      <c r="G905" t="s">
        <v>28</v>
      </c>
      <c r="H905" t="s">
        <v>15</v>
      </c>
      <c r="I905">
        <v>1</v>
      </c>
      <c r="J905" t="s">
        <v>23</v>
      </c>
      <c r="K905" t="s">
        <v>32</v>
      </c>
      <c r="L905">
        <v>73</v>
      </c>
      <c r="M905" t="str" cm="1">
        <f t="array" ref="M905">_xlfn.IFS(
L905&gt;50,"Old Age",
L905&gt;=31,"Middle Age",
L905&lt;31,"Young Age"
)</f>
        <v>Old Age</v>
      </c>
      <c r="N905" t="s">
        <v>18</v>
      </c>
      <c r="O905" t="str" cm="1">
        <f t="array" ref="O905">_xlfn.IFS(D905&gt;120000, "High Income", D905&gt;=80000, "Average Income", D905&lt;80000, "Low Income")</f>
        <v>Average Income</v>
      </c>
      <c r="P905">
        <f>IF(Table24[[#This Row],[Purchased Bike]]="Yes",1,0)</f>
        <v>0</v>
      </c>
    </row>
    <row r="906" spans="1:16" x14ac:dyDescent="0.25">
      <c r="A906">
        <v>26305</v>
      </c>
      <c r="B906" t="s">
        <v>35</v>
      </c>
      <c r="C906" t="s">
        <v>33</v>
      </c>
      <c r="D906" s="2">
        <v>60000</v>
      </c>
      <c r="E906">
        <v>2</v>
      </c>
      <c r="F906" t="s">
        <v>13</v>
      </c>
      <c r="G906" t="s">
        <v>14</v>
      </c>
      <c r="H906" t="s">
        <v>18</v>
      </c>
      <c r="I906">
        <v>0</v>
      </c>
      <c r="J906" t="s">
        <v>16</v>
      </c>
      <c r="K906" t="s">
        <v>32</v>
      </c>
      <c r="L906">
        <v>36</v>
      </c>
      <c r="M906" t="str" cm="1">
        <f t="array" ref="M906">_xlfn.IFS(
L906&gt;50,"Old Age",
L906&gt;=31,"Middle Age",
L906&lt;31,"Young Age"
)</f>
        <v>Middle Age</v>
      </c>
      <c r="N906" t="s">
        <v>15</v>
      </c>
      <c r="O906" t="str" cm="1">
        <f t="array" ref="O906">_xlfn.IFS(D906&gt;120000, "High Income", D906&gt;=80000, "Average Income", D906&lt;80000, "Low Income")</f>
        <v>Low Income</v>
      </c>
      <c r="P906">
        <f>IF(Table24[[#This Row],[Purchased Bike]]="Yes",1,0)</f>
        <v>1</v>
      </c>
    </row>
    <row r="907" spans="1:16" x14ac:dyDescent="0.25">
      <c r="A907">
        <v>22050</v>
      </c>
      <c r="B907" t="s">
        <v>35</v>
      </c>
      <c r="C907" t="s">
        <v>34</v>
      </c>
      <c r="D907" s="2">
        <v>90000</v>
      </c>
      <c r="E907">
        <v>4</v>
      </c>
      <c r="F907" t="s">
        <v>13</v>
      </c>
      <c r="G907" t="s">
        <v>28</v>
      </c>
      <c r="H907" t="s">
        <v>15</v>
      </c>
      <c r="I907">
        <v>1</v>
      </c>
      <c r="J907" t="s">
        <v>26</v>
      </c>
      <c r="K907" t="s">
        <v>32</v>
      </c>
      <c r="L907">
        <v>38</v>
      </c>
      <c r="M907" t="str" cm="1">
        <f t="array" ref="M907">_xlfn.IFS(
L907&gt;50,"Old Age",
L907&gt;=31,"Middle Age",
L907&lt;31,"Young Age"
)</f>
        <v>Middle Age</v>
      </c>
      <c r="N907" t="s">
        <v>15</v>
      </c>
      <c r="O907" t="str" cm="1">
        <f t="array" ref="O907">_xlfn.IFS(D907&gt;120000, "High Income", D907&gt;=80000, "Average Income", D907&lt;80000, "Low Income")</f>
        <v>Average Income</v>
      </c>
      <c r="P907">
        <f>IF(Table24[[#This Row],[Purchased Bike]]="Yes",1,0)</f>
        <v>1</v>
      </c>
    </row>
    <row r="908" spans="1:16" x14ac:dyDescent="0.25">
      <c r="A908">
        <v>25394</v>
      </c>
      <c r="B908" t="s">
        <v>34</v>
      </c>
      <c r="C908" t="s">
        <v>34</v>
      </c>
      <c r="D908" s="2">
        <v>60000</v>
      </c>
      <c r="E908">
        <v>1</v>
      </c>
      <c r="F908" t="s">
        <v>31</v>
      </c>
      <c r="G908" t="s">
        <v>21</v>
      </c>
      <c r="H908" t="s">
        <v>15</v>
      </c>
      <c r="I908">
        <v>0</v>
      </c>
      <c r="J908" t="s">
        <v>22</v>
      </c>
      <c r="K908" t="s">
        <v>32</v>
      </c>
      <c r="L908">
        <v>34</v>
      </c>
      <c r="M908" t="str" cm="1">
        <f t="array" ref="M908">_xlfn.IFS(
L908&gt;50,"Old Age",
L908&gt;=31,"Middle Age",
L908&lt;31,"Young Age"
)</f>
        <v>Middle Age</v>
      </c>
      <c r="N908" t="s">
        <v>15</v>
      </c>
      <c r="O908" t="str" cm="1">
        <f t="array" ref="O908">_xlfn.IFS(D908&gt;120000, "High Income", D908&gt;=80000, "Average Income", D908&lt;80000, "Low Income")</f>
        <v>Low Income</v>
      </c>
      <c r="P908">
        <f>IF(Table24[[#This Row],[Purchased Bike]]="Yes",1,0)</f>
        <v>1</v>
      </c>
    </row>
    <row r="909" spans="1:16" hidden="1" x14ac:dyDescent="0.25">
      <c r="A909">
        <v>19747</v>
      </c>
      <c r="B909" t="s">
        <v>34</v>
      </c>
      <c r="C909" t="s">
        <v>34</v>
      </c>
      <c r="D909" s="2">
        <v>50000</v>
      </c>
      <c r="E909">
        <v>4</v>
      </c>
      <c r="F909" t="s">
        <v>13</v>
      </c>
      <c r="G909" t="s">
        <v>28</v>
      </c>
      <c r="H909" t="s">
        <v>15</v>
      </c>
      <c r="I909">
        <v>2</v>
      </c>
      <c r="J909" t="s">
        <v>30</v>
      </c>
      <c r="K909" t="s">
        <v>32</v>
      </c>
      <c r="L909">
        <v>63</v>
      </c>
      <c r="M909" t="str" cm="1">
        <f t="array" ref="M909">_xlfn.IFS(
L909&gt;50,"Old Age",
L909&gt;=31,"Middle Age",
L909&lt;31,"Young Age"
)</f>
        <v>Old Age</v>
      </c>
      <c r="N909" t="s">
        <v>18</v>
      </c>
      <c r="O909" t="str" cm="1">
        <f t="array" ref="O909">_xlfn.IFS(D909&gt;120000, "High Income", D909&gt;=80000, "Average Income", D909&lt;80000, "Low Income")</f>
        <v>Low Income</v>
      </c>
      <c r="P909">
        <f>IF(Table24[[#This Row],[Purchased Bike]]="Yes",1,0)</f>
        <v>0</v>
      </c>
    </row>
    <row r="910" spans="1:16" x14ac:dyDescent="0.25">
      <c r="A910">
        <v>23195</v>
      </c>
      <c r="B910" t="s">
        <v>35</v>
      </c>
      <c r="C910" t="s">
        <v>34</v>
      </c>
      <c r="D910" s="2">
        <v>50000</v>
      </c>
      <c r="E910">
        <v>3</v>
      </c>
      <c r="F910" t="s">
        <v>13</v>
      </c>
      <c r="G910" t="s">
        <v>14</v>
      </c>
      <c r="H910" t="s">
        <v>15</v>
      </c>
      <c r="I910">
        <v>2</v>
      </c>
      <c r="J910" t="s">
        <v>22</v>
      </c>
      <c r="K910" t="s">
        <v>32</v>
      </c>
      <c r="L910">
        <v>41</v>
      </c>
      <c r="M910" t="str" cm="1">
        <f t="array" ref="M910">_xlfn.IFS(
L910&gt;50,"Old Age",
L910&gt;=31,"Middle Age",
L910&lt;31,"Young Age"
)</f>
        <v>Middle Age</v>
      </c>
      <c r="N910" t="s">
        <v>15</v>
      </c>
      <c r="O910" t="str" cm="1">
        <f t="array" ref="O910">_xlfn.IFS(D910&gt;120000, "High Income", D910&gt;=80000, "Average Income", D910&lt;80000, "Low Income")</f>
        <v>Low Income</v>
      </c>
      <c r="P910">
        <f>IF(Table24[[#This Row],[Purchased Bike]]="Yes",1,0)</f>
        <v>1</v>
      </c>
    </row>
    <row r="911" spans="1:16" x14ac:dyDescent="0.25">
      <c r="A911">
        <v>21695</v>
      </c>
      <c r="B911" t="s">
        <v>34</v>
      </c>
      <c r="C911" t="s">
        <v>34</v>
      </c>
      <c r="D911" s="2">
        <v>60000</v>
      </c>
      <c r="E911">
        <v>0</v>
      </c>
      <c r="F911" t="s">
        <v>31</v>
      </c>
      <c r="G911" t="s">
        <v>14</v>
      </c>
      <c r="H911" t="s">
        <v>15</v>
      </c>
      <c r="I911">
        <v>0</v>
      </c>
      <c r="J911" t="s">
        <v>26</v>
      </c>
      <c r="K911" t="s">
        <v>32</v>
      </c>
      <c r="L911">
        <v>39</v>
      </c>
      <c r="M911" t="str" cm="1">
        <f t="array" ref="M911">_xlfn.IFS(
L911&gt;50,"Old Age",
L911&gt;=31,"Middle Age",
L911&lt;31,"Young Age"
)</f>
        <v>Middle Age</v>
      </c>
      <c r="N911" t="s">
        <v>15</v>
      </c>
      <c r="O911" t="str" cm="1">
        <f t="array" ref="O911">_xlfn.IFS(D911&gt;120000, "High Income", D911&gt;=80000, "Average Income", D911&lt;80000, "Low Income")</f>
        <v>Low Income</v>
      </c>
      <c r="P911">
        <f>IF(Table24[[#This Row],[Purchased Bike]]="Yes",1,0)</f>
        <v>1</v>
      </c>
    </row>
    <row r="912" spans="1:16" hidden="1" x14ac:dyDescent="0.25">
      <c r="A912">
        <v>13934</v>
      </c>
      <c r="B912" t="s">
        <v>34</v>
      </c>
      <c r="C912" t="s">
        <v>34</v>
      </c>
      <c r="D912" s="2">
        <v>40000</v>
      </c>
      <c r="E912">
        <v>4</v>
      </c>
      <c r="F912" t="s">
        <v>27</v>
      </c>
      <c r="G912" t="s">
        <v>14</v>
      </c>
      <c r="H912" t="s">
        <v>15</v>
      </c>
      <c r="I912">
        <v>2</v>
      </c>
      <c r="J912" t="s">
        <v>22</v>
      </c>
      <c r="K912" t="s">
        <v>32</v>
      </c>
      <c r="L912">
        <v>46</v>
      </c>
      <c r="M912" t="str" cm="1">
        <f t="array" ref="M912">_xlfn.IFS(
L912&gt;50,"Old Age",
L912&gt;=31,"Middle Age",
L912&lt;31,"Young Age"
)</f>
        <v>Middle Age</v>
      </c>
      <c r="N912" t="s">
        <v>18</v>
      </c>
      <c r="O912" t="str" cm="1">
        <f t="array" ref="O912">_xlfn.IFS(D912&gt;120000, "High Income", D912&gt;=80000, "Average Income", D912&lt;80000, "Low Income")</f>
        <v>Low Income</v>
      </c>
      <c r="P912">
        <f>IF(Table24[[#This Row],[Purchased Bike]]="Yes",1,0)</f>
        <v>0</v>
      </c>
    </row>
    <row r="913" spans="1:16" hidden="1" x14ac:dyDescent="0.25">
      <c r="A913">
        <v>13337</v>
      </c>
      <c r="B913" t="s">
        <v>34</v>
      </c>
      <c r="C913" t="s">
        <v>33</v>
      </c>
      <c r="D913" s="2">
        <v>80000</v>
      </c>
      <c r="E913">
        <v>5</v>
      </c>
      <c r="F913" t="s">
        <v>13</v>
      </c>
      <c r="G913" t="s">
        <v>28</v>
      </c>
      <c r="H913" t="s">
        <v>15</v>
      </c>
      <c r="I913">
        <v>2</v>
      </c>
      <c r="J913" t="s">
        <v>23</v>
      </c>
      <c r="K913" t="s">
        <v>32</v>
      </c>
      <c r="L913">
        <v>64</v>
      </c>
      <c r="M913" t="str" cm="1">
        <f t="array" ref="M913">_xlfn.IFS(
L913&gt;50,"Old Age",
L913&gt;=31,"Middle Age",
L913&lt;31,"Young Age"
)</f>
        <v>Old Age</v>
      </c>
      <c r="N913" t="s">
        <v>18</v>
      </c>
      <c r="O913" t="str" cm="1">
        <f t="array" ref="O913">_xlfn.IFS(D913&gt;120000, "High Income", D913&gt;=80000, "Average Income", D913&lt;80000, "Low Income")</f>
        <v>Average Income</v>
      </c>
      <c r="P913">
        <f>IF(Table24[[#This Row],[Purchased Bike]]="Yes",1,0)</f>
        <v>0</v>
      </c>
    </row>
    <row r="914" spans="1:16" hidden="1" x14ac:dyDescent="0.25">
      <c r="A914">
        <v>27190</v>
      </c>
      <c r="B914" t="s">
        <v>34</v>
      </c>
      <c r="C914" t="s">
        <v>33</v>
      </c>
      <c r="D914" s="2">
        <v>40000</v>
      </c>
      <c r="E914">
        <v>3</v>
      </c>
      <c r="F914" t="s">
        <v>19</v>
      </c>
      <c r="G914" t="s">
        <v>20</v>
      </c>
      <c r="H914" t="s">
        <v>15</v>
      </c>
      <c r="I914">
        <v>1</v>
      </c>
      <c r="J914" t="s">
        <v>26</v>
      </c>
      <c r="K914" t="s">
        <v>32</v>
      </c>
      <c r="L914">
        <v>32</v>
      </c>
      <c r="M914" t="str" cm="1">
        <f t="array" ref="M914">_xlfn.IFS(
L914&gt;50,"Old Age",
L914&gt;=31,"Middle Age",
L914&lt;31,"Young Age"
)</f>
        <v>Middle Age</v>
      </c>
      <c r="N914" t="s">
        <v>18</v>
      </c>
      <c r="O914" t="str" cm="1">
        <f t="array" ref="O914">_xlfn.IFS(D914&gt;120000, "High Income", D914&gt;=80000, "Average Income", D914&lt;80000, "Low Income")</f>
        <v>Low Income</v>
      </c>
      <c r="P914">
        <f>IF(Table24[[#This Row],[Purchased Bike]]="Yes",1,0)</f>
        <v>0</v>
      </c>
    </row>
    <row r="915" spans="1:16" x14ac:dyDescent="0.25">
      <c r="A915">
        <v>28657</v>
      </c>
      <c r="B915" t="s">
        <v>35</v>
      </c>
      <c r="C915" t="s">
        <v>34</v>
      </c>
      <c r="D915" s="2">
        <v>60000</v>
      </c>
      <c r="E915">
        <v>2</v>
      </c>
      <c r="F915" t="s">
        <v>13</v>
      </c>
      <c r="G915" t="s">
        <v>14</v>
      </c>
      <c r="H915" t="s">
        <v>15</v>
      </c>
      <c r="I915">
        <v>0</v>
      </c>
      <c r="J915" t="s">
        <v>22</v>
      </c>
      <c r="K915" t="s">
        <v>32</v>
      </c>
      <c r="L915">
        <v>36</v>
      </c>
      <c r="M915" t="str" cm="1">
        <f t="array" ref="M915">_xlfn.IFS(
L915&gt;50,"Old Age",
L915&gt;=31,"Middle Age",
L915&lt;31,"Young Age"
)</f>
        <v>Middle Age</v>
      </c>
      <c r="N915" t="s">
        <v>15</v>
      </c>
      <c r="O915" t="str" cm="1">
        <f t="array" ref="O915">_xlfn.IFS(D915&gt;120000, "High Income", D915&gt;=80000, "Average Income", D915&lt;80000, "Low Income")</f>
        <v>Low Income</v>
      </c>
      <c r="P915">
        <f>IF(Table24[[#This Row],[Purchased Bike]]="Yes",1,0)</f>
        <v>1</v>
      </c>
    </row>
    <row r="916" spans="1:16" hidden="1" x14ac:dyDescent="0.25">
      <c r="A916">
        <v>21713</v>
      </c>
      <c r="B916" t="s">
        <v>35</v>
      </c>
      <c r="C916" t="s">
        <v>34</v>
      </c>
      <c r="D916" s="2">
        <v>80000</v>
      </c>
      <c r="E916">
        <v>5</v>
      </c>
      <c r="F916" t="s">
        <v>31</v>
      </c>
      <c r="G916" t="s">
        <v>14</v>
      </c>
      <c r="H916" t="s">
        <v>18</v>
      </c>
      <c r="I916">
        <v>0</v>
      </c>
      <c r="J916" t="s">
        <v>16</v>
      </c>
      <c r="K916" t="s">
        <v>32</v>
      </c>
      <c r="L916">
        <v>47</v>
      </c>
      <c r="M916" t="str" cm="1">
        <f t="array" ref="M916">_xlfn.IFS(
L916&gt;50,"Old Age",
L916&gt;=31,"Middle Age",
L916&lt;31,"Young Age"
)</f>
        <v>Middle Age</v>
      </c>
      <c r="N916" t="s">
        <v>18</v>
      </c>
      <c r="O916" t="str" cm="1">
        <f t="array" ref="O916">_xlfn.IFS(D916&gt;120000, "High Income", D916&gt;=80000, "Average Income", D916&lt;80000, "Low Income")</f>
        <v>Average Income</v>
      </c>
      <c r="P916">
        <f>IF(Table24[[#This Row],[Purchased Bike]]="Yes",1,0)</f>
        <v>0</v>
      </c>
    </row>
    <row r="917" spans="1:16" hidden="1" x14ac:dyDescent="0.25">
      <c r="A917">
        <v>21752</v>
      </c>
      <c r="B917" t="s">
        <v>34</v>
      </c>
      <c r="C917" t="s">
        <v>34</v>
      </c>
      <c r="D917" s="2">
        <v>60000</v>
      </c>
      <c r="E917">
        <v>3</v>
      </c>
      <c r="F917" t="s">
        <v>31</v>
      </c>
      <c r="G917" t="s">
        <v>28</v>
      </c>
      <c r="H917" t="s">
        <v>15</v>
      </c>
      <c r="I917">
        <v>2</v>
      </c>
      <c r="J917" t="s">
        <v>30</v>
      </c>
      <c r="K917" t="s">
        <v>32</v>
      </c>
      <c r="L917">
        <v>64</v>
      </c>
      <c r="M917" t="str" cm="1">
        <f t="array" ref="M917">_xlfn.IFS(
L917&gt;50,"Old Age",
L917&gt;=31,"Middle Age",
L917&lt;31,"Young Age"
)</f>
        <v>Old Age</v>
      </c>
      <c r="N917" t="s">
        <v>18</v>
      </c>
      <c r="O917" t="str" cm="1">
        <f t="array" ref="O917">_xlfn.IFS(D917&gt;120000, "High Income", D917&gt;=80000, "Average Income", D917&lt;80000, "Low Income")</f>
        <v>Low Income</v>
      </c>
      <c r="P917">
        <f>IF(Table24[[#This Row],[Purchased Bike]]="Yes",1,0)</f>
        <v>0</v>
      </c>
    </row>
    <row r="918" spans="1:16" x14ac:dyDescent="0.25">
      <c r="A918">
        <v>27273</v>
      </c>
      <c r="B918" t="s">
        <v>35</v>
      </c>
      <c r="C918" t="s">
        <v>34</v>
      </c>
      <c r="D918" s="2">
        <v>70000</v>
      </c>
      <c r="E918">
        <v>3</v>
      </c>
      <c r="F918" t="s">
        <v>31</v>
      </c>
      <c r="G918" t="s">
        <v>21</v>
      </c>
      <c r="H918" t="s">
        <v>18</v>
      </c>
      <c r="I918">
        <v>0</v>
      </c>
      <c r="J918" t="s">
        <v>16</v>
      </c>
      <c r="K918" t="s">
        <v>32</v>
      </c>
      <c r="L918">
        <v>35</v>
      </c>
      <c r="M918" t="str" cm="1">
        <f t="array" ref="M918">_xlfn.IFS(
L918&gt;50,"Old Age",
L918&gt;=31,"Middle Age",
L918&lt;31,"Young Age"
)</f>
        <v>Middle Age</v>
      </c>
      <c r="N918" t="s">
        <v>15</v>
      </c>
      <c r="O918" t="str" cm="1">
        <f t="array" ref="O918">_xlfn.IFS(D918&gt;120000, "High Income", D918&gt;=80000, "Average Income", D918&lt;80000, "Low Income")</f>
        <v>Low Income</v>
      </c>
      <c r="P918">
        <f>IF(Table24[[#This Row],[Purchased Bike]]="Yes",1,0)</f>
        <v>1</v>
      </c>
    </row>
    <row r="919" spans="1:16" x14ac:dyDescent="0.25">
      <c r="A919">
        <v>22719</v>
      </c>
      <c r="B919" t="s">
        <v>35</v>
      </c>
      <c r="C919" t="s">
        <v>34</v>
      </c>
      <c r="D919" s="2">
        <v>110000</v>
      </c>
      <c r="E919">
        <v>3</v>
      </c>
      <c r="F919" t="s">
        <v>13</v>
      </c>
      <c r="G919" t="s">
        <v>28</v>
      </c>
      <c r="H919" t="s">
        <v>15</v>
      </c>
      <c r="I919">
        <v>4</v>
      </c>
      <c r="J919" t="s">
        <v>22</v>
      </c>
      <c r="K919" t="s">
        <v>32</v>
      </c>
      <c r="L919">
        <v>40</v>
      </c>
      <c r="M919" t="str" cm="1">
        <f t="array" ref="M919">_xlfn.IFS(
L919&gt;50,"Old Age",
L919&gt;=31,"Middle Age",
L919&lt;31,"Young Age"
)</f>
        <v>Middle Age</v>
      </c>
      <c r="N919" t="s">
        <v>15</v>
      </c>
      <c r="O919" t="str" cm="1">
        <f t="array" ref="O919">_xlfn.IFS(D919&gt;120000, "High Income", D919&gt;=80000, "Average Income", D919&lt;80000, "Low Income")</f>
        <v>Average Income</v>
      </c>
      <c r="P919">
        <f>IF(Table24[[#This Row],[Purchased Bike]]="Yes",1,0)</f>
        <v>1</v>
      </c>
    </row>
    <row r="920" spans="1:16" x14ac:dyDescent="0.25">
      <c r="A920">
        <v>22042</v>
      </c>
      <c r="B920" t="s">
        <v>34</v>
      </c>
      <c r="C920" t="s">
        <v>33</v>
      </c>
      <c r="D920" s="2">
        <v>70000</v>
      </c>
      <c r="E920">
        <v>0</v>
      </c>
      <c r="F920" t="s">
        <v>19</v>
      </c>
      <c r="G920" t="s">
        <v>14</v>
      </c>
      <c r="H920" t="s">
        <v>15</v>
      </c>
      <c r="I920">
        <v>2</v>
      </c>
      <c r="J920" t="s">
        <v>23</v>
      </c>
      <c r="K920" t="s">
        <v>32</v>
      </c>
      <c r="L920">
        <v>34</v>
      </c>
      <c r="M920" t="str" cm="1">
        <f t="array" ref="M920">_xlfn.IFS(
L920&gt;50,"Old Age",
L920&gt;=31,"Middle Age",
L920&lt;31,"Young Age"
)</f>
        <v>Middle Age</v>
      </c>
      <c r="N920" t="s">
        <v>15</v>
      </c>
      <c r="O920" t="str" cm="1">
        <f t="array" ref="O920">_xlfn.IFS(D920&gt;120000, "High Income", D920&gt;=80000, "Average Income", D920&lt;80000, "Low Income")</f>
        <v>Low Income</v>
      </c>
      <c r="P920">
        <f>IF(Table24[[#This Row],[Purchased Bike]]="Yes",1,0)</f>
        <v>1</v>
      </c>
    </row>
    <row r="921" spans="1:16" hidden="1" x14ac:dyDescent="0.25">
      <c r="A921">
        <v>21451</v>
      </c>
      <c r="B921" t="s">
        <v>34</v>
      </c>
      <c r="C921" t="s">
        <v>33</v>
      </c>
      <c r="D921" s="2">
        <v>40000</v>
      </c>
      <c r="E921">
        <v>4</v>
      </c>
      <c r="F921" t="s">
        <v>27</v>
      </c>
      <c r="G921" t="s">
        <v>21</v>
      </c>
      <c r="H921" t="s">
        <v>15</v>
      </c>
      <c r="I921">
        <v>2</v>
      </c>
      <c r="J921" t="s">
        <v>30</v>
      </c>
      <c r="K921" t="s">
        <v>32</v>
      </c>
      <c r="L921">
        <v>61</v>
      </c>
      <c r="M921" t="str" cm="1">
        <f t="array" ref="M921">_xlfn.IFS(
L921&gt;50,"Old Age",
L921&gt;=31,"Middle Age",
L921&lt;31,"Young Age"
)</f>
        <v>Old Age</v>
      </c>
      <c r="N921" t="s">
        <v>18</v>
      </c>
      <c r="O921" t="str" cm="1">
        <f t="array" ref="O921">_xlfn.IFS(D921&gt;120000, "High Income", D921&gt;=80000, "Average Income", D921&lt;80000, "Low Income")</f>
        <v>Low Income</v>
      </c>
      <c r="P921">
        <f>IF(Table24[[#This Row],[Purchased Bike]]="Yes",1,0)</f>
        <v>0</v>
      </c>
    </row>
    <row r="922" spans="1:16" hidden="1" x14ac:dyDescent="0.25">
      <c r="A922">
        <v>20754</v>
      </c>
      <c r="B922" t="s">
        <v>34</v>
      </c>
      <c r="C922" t="s">
        <v>34</v>
      </c>
      <c r="D922" s="2">
        <v>30000</v>
      </c>
      <c r="E922">
        <v>2</v>
      </c>
      <c r="F922" t="s">
        <v>27</v>
      </c>
      <c r="G922" t="s">
        <v>14</v>
      </c>
      <c r="H922" t="s">
        <v>15</v>
      </c>
      <c r="I922">
        <v>2</v>
      </c>
      <c r="J922" t="s">
        <v>26</v>
      </c>
      <c r="K922" t="s">
        <v>32</v>
      </c>
      <c r="L922">
        <v>51</v>
      </c>
      <c r="M922" t="str" cm="1">
        <f t="array" ref="M922">_xlfn.IFS(
L922&gt;50,"Old Age",
L922&gt;=31,"Middle Age",
L922&lt;31,"Young Age"
)</f>
        <v>Old Age</v>
      </c>
      <c r="N922" t="s">
        <v>18</v>
      </c>
      <c r="O922" t="str" cm="1">
        <f t="array" ref="O922">_xlfn.IFS(D922&gt;120000, "High Income", D922&gt;=80000, "Average Income", D922&lt;80000, "Low Income")</f>
        <v>Low Income</v>
      </c>
      <c r="P922">
        <f>IF(Table24[[#This Row],[Purchased Bike]]="Yes",1,0)</f>
        <v>0</v>
      </c>
    </row>
    <row r="923" spans="1:16" x14ac:dyDescent="0.25">
      <c r="A923">
        <v>12153</v>
      </c>
      <c r="B923" t="s">
        <v>35</v>
      </c>
      <c r="C923" t="s">
        <v>33</v>
      </c>
      <c r="D923" s="2">
        <v>70000</v>
      </c>
      <c r="E923">
        <v>3</v>
      </c>
      <c r="F923" t="s">
        <v>19</v>
      </c>
      <c r="G923" t="s">
        <v>21</v>
      </c>
      <c r="H923" t="s">
        <v>15</v>
      </c>
      <c r="I923">
        <v>1</v>
      </c>
      <c r="J923" t="s">
        <v>23</v>
      </c>
      <c r="K923" t="s">
        <v>32</v>
      </c>
      <c r="L923">
        <v>49</v>
      </c>
      <c r="M923" t="str" cm="1">
        <f t="array" ref="M923">_xlfn.IFS(
L923&gt;50,"Old Age",
L923&gt;=31,"Middle Age",
L923&lt;31,"Young Age"
)</f>
        <v>Middle Age</v>
      </c>
      <c r="N923" t="s">
        <v>15</v>
      </c>
      <c r="O923" t="str" cm="1">
        <f t="array" ref="O923">_xlfn.IFS(D923&gt;120000, "High Income", D923&gt;=80000, "Average Income", D923&lt;80000, "Low Income")</f>
        <v>Low Income</v>
      </c>
      <c r="P923">
        <f>IF(Table24[[#This Row],[Purchased Bike]]="Yes",1,0)</f>
        <v>1</v>
      </c>
    </row>
    <row r="924" spans="1:16" hidden="1" x14ac:dyDescent="0.25">
      <c r="A924">
        <v>16895</v>
      </c>
      <c r="B924" t="s">
        <v>34</v>
      </c>
      <c r="C924" t="s">
        <v>33</v>
      </c>
      <c r="D924" s="2">
        <v>40000</v>
      </c>
      <c r="E924">
        <v>3</v>
      </c>
      <c r="F924" t="s">
        <v>19</v>
      </c>
      <c r="G924" t="s">
        <v>21</v>
      </c>
      <c r="H924" t="s">
        <v>18</v>
      </c>
      <c r="I924">
        <v>2</v>
      </c>
      <c r="J924" t="s">
        <v>26</v>
      </c>
      <c r="K924" t="s">
        <v>32</v>
      </c>
      <c r="L924">
        <v>54</v>
      </c>
      <c r="M924" t="str" cm="1">
        <f t="array" ref="M924">_xlfn.IFS(
L924&gt;50,"Old Age",
L924&gt;=31,"Middle Age",
L924&lt;31,"Young Age"
)</f>
        <v>Old Age</v>
      </c>
      <c r="N924" t="s">
        <v>15</v>
      </c>
      <c r="O924" t="str" cm="1">
        <f t="array" ref="O924">_xlfn.IFS(D924&gt;120000, "High Income", D924&gt;=80000, "Average Income", D924&lt;80000, "Low Income")</f>
        <v>Low Income</v>
      </c>
      <c r="P924">
        <f>IF(Table24[[#This Row],[Purchased Bike]]="Yes",1,0)</f>
        <v>1</v>
      </c>
    </row>
    <row r="925" spans="1:16" hidden="1" x14ac:dyDescent="0.25">
      <c r="A925">
        <v>26728</v>
      </c>
      <c r="B925" t="s">
        <v>35</v>
      </c>
      <c r="C925" t="s">
        <v>34</v>
      </c>
      <c r="D925" s="2">
        <v>70000</v>
      </c>
      <c r="E925">
        <v>3</v>
      </c>
      <c r="F925" t="s">
        <v>31</v>
      </c>
      <c r="G925" t="s">
        <v>28</v>
      </c>
      <c r="H925" t="s">
        <v>18</v>
      </c>
      <c r="I925">
        <v>2</v>
      </c>
      <c r="J925" t="s">
        <v>26</v>
      </c>
      <c r="K925" t="s">
        <v>32</v>
      </c>
      <c r="L925">
        <v>53</v>
      </c>
      <c r="M925" t="str" cm="1">
        <f t="array" ref="M925">_xlfn.IFS(
L925&gt;50,"Old Age",
L925&gt;=31,"Middle Age",
L925&lt;31,"Young Age"
)</f>
        <v>Old Age</v>
      </c>
      <c r="N925" t="s">
        <v>15</v>
      </c>
      <c r="O925" t="str" cm="1">
        <f t="array" ref="O925">_xlfn.IFS(D925&gt;120000, "High Income", D925&gt;=80000, "Average Income", D925&lt;80000, "Low Income")</f>
        <v>Low Income</v>
      </c>
      <c r="P925">
        <f>IF(Table24[[#This Row],[Purchased Bike]]="Yes",1,0)</f>
        <v>1</v>
      </c>
    </row>
    <row r="926" spans="1:16" x14ac:dyDescent="0.25">
      <c r="A926">
        <v>11090</v>
      </c>
      <c r="B926" t="s">
        <v>35</v>
      </c>
      <c r="C926" t="s">
        <v>34</v>
      </c>
      <c r="D926" s="2">
        <v>90000</v>
      </c>
      <c r="E926">
        <v>2</v>
      </c>
      <c r="F926" t="s">
        <v>19</v>
      </c>
      <c r="G926" t="s">
        <v>21</v>
      </c>
      <c r="H926" t="s">
        <v>15</v>
      </c>
      <c r="I926">
        <v>1</v>
      </c>
      <c r="J926" t="s">
        <v>22</v>
      </c>
      <c r="K926" t="s">
        <v>32</v>
      </c>
      <c r="L926">
        <v>48</v>
      </c>
      <c r="M926" t="str" cm="1">
        <f t="array" ref="M926">_xlfn.IFS(
L926&gt;50,"Old Age",
L926&gt;=31,"Middle Age",
L926&lt;31,"Young Age"
)</f>
        <v>Middle Age</v>
      </c>
      <c r="N926" t="s">
        <v>15</v>
      </c>
      <c r="O926" t="str" cm="1">
        <f t="array" ref="O926">_xlfn.IFS(D926&gt;120000, "High Income", D926&gt;=80000, "Average Income", D926&lt;80000, "Low Income")</f>
        <v>Average Income</v>
      </c>
      <c r="P926">
        <f>IF(Table24[[#This Row],[Purchased Bike]]="Yes",1,0)</f>
        <v>1</v>
      </c>
    </row>
    <row r="927" spans="1:16" x14ac:dyDescent="0.25">
      <c r="A927">
        <v>15862</v>
      </c>
      <c r="B927" t="s">
        <v>35</v>
      </c>
      <c r="C927" t="s">
        <v>33</v>
      </c>
      <c r="D927" s="2">
        <v>50000</v>
      </c>
      <c r="E927">
        <v>0</v>
      </c>
      <c r="F927" t="s">
        <v>31</v>
      </c>
      <c r="G927" t="s">
        <v>14</v>
      </c>
      <c r="H927" t="s">
        <v>15</v>
      </c>
      <c r="I927">
        <v>0</v>
      </c>
      <c r="J927" t="s">
        <v>26</v>
      </c>
      <c r="K927" t="s">
        <v>32</v>
      </c>
      <c r="L927">
        <v>33</v>
      </c>
      <c r="M927" t="str" cm="1">
        <f t="array" ref="M927">_xlfn.IFS(
L927&gt;50,"Old Age",
L927&gt;=31,"Middle Age",
L927&lt;31,"Young Age"
)</f>
        <v>Middle Age</v>
      </c>
      <c r="N927" t="s">
        <v>15</v>
      </c>
      <c r="O927" t="str" cm="1">
        <f t="array" ref="O927">_xlfn.IFS(D927&gt;120000, "High Income", D927&gt;=80000, "Average Income", D927&lt;80000, "Low Income")</f>
        <v>Low Income</v>
      </c>
      <c r="P927">
        <f>IF(Table24[[#This Row],[Purchased Bike]]="Yes",1,0)</f>
        <v>1</v>
      </c>
    </row>
    <row r="928" spans="1:16" hidden="1" x14ac:dyDescent="0.25">
      <c r="A928">
        <v>26495</v>
      </c>
      <c r="B928" t="s">
        <v>35</v>
      </c>
      <c r="C928" t="s">
        <v>33</v>
      </c>
      <c r="D928" s="2">
        <v>40000</v>
      </c>
      <c r="E928">
        <v>2</v>
      </c>
      <c r="F928" t="s">
        <v>27</v>
      </c>
      <c r="G928" t="s">
        <v>21</v>
      </c>
      <c r="H928" t="s">
        <v>15</v>
      </c>
      <c r="I928">
        <v>2</v>
      </c>
      <c r="J928" t="s">
        <v>30</v>
      </c>
      <c r="K928" t="s">
        <v>32</v>
      </c>
      <c r="L928">
        <v>57</v>
      </c>
      <c r="M928" t="str" cm="1">
        <f t="array" ref="M928">_xlfn.IFS(
L928&gt;50,"Old Age",
L928&gt;=31,"Middle Age",
L928&lt;31,"Young Age"
)</f>
        <v>Old Age</v>
      </c>
      <c r="N928" t="s">
        <v>18</v>
      </c>
      <c r="O928" t="str" cm="1">
        <f t="array" ref="O928">_xlfn.IFS(D928&gt;120000, "High Income", D928&gt;=80000, "Average Income", D928&lt;80000, "Low Income")</f>
        <v>Low Income</v>
      </c>
      <c r="P928">
        <f>IF(Table24[[#This Row],[Purchased Bike]]="Yes",1,0)</f>
        <v>0</v>
      </c>
    </row>
    <row r="929" spans="1:16" hidden="1" x14ac:dyDescent="0.25">
      <c r="A929">
        <v>11823</v>
      </c>
      <c r="B929" t="s">
        <v>34</v>
      </c>
      <c r="C929" t="s">
        <v>33</v>
      </c>
      <c r="D929" s="2">
        <v>70000</v>
      </c>
      <c r="E929">
        <v>0</v>
      </c>
      <c r="F929" t="s">
        <v>31</v>
      </c>
      <c r="G929" t="s">
        <v>21</v>
      </c>
      <c r="H929" t="s">
        <v>15</v>
      </c>
      <c r="I929">
        <v>0</v>
      </c>
      <c r="J929" t="s">
        <v>22</v>
      </c>
      <c r="K929" t="s">
        <v>32</v>
      </c>
      <c r="L929">
        <v>39</v>
      </c>
      <c r="M929" t="str" cm="1">
        <f t="array" ref="M929">_xlfn.IFS(
L929&gt;50,"Old Age",
L929&gt;=31,"Middle Age",
L929&lt;31,"Young Age"
)</f>
        <v>Middle Age</v>
      </c>
      <c r="N929" t="s">
        <v>18</v>
      </c>
      <c r="O929" t="str" cm="1">
        <f t="array" ref="O929">_xlfn.IFS(D929&gt;120000, "High Income", D929&gt;=80000, "Average Income", D929&lt;80000, "Low Income")</f>
        <v>Low Income</v>
      </c>
      <c r="P929">
        <f>IF(Table24[[#This Row],[Purchased Bike]]="Yes",1,0)</f>
        <v>0</v>
      </c>
    </row>
    <row r="930" spans="1:16" hidden="1" x14ac:dyDescent="0.25">
      <c r="A930">
        <v>23449</v>
      </c>
      <c r="B930" t="s">
        <v>34</v>
      </c>
      <c r="C930" t="s">
        <v>34</v>
      </c>
      <c r="D930" s="2">
        <v>60000</v>
      </c>
      <c r="E930">
        <v>2</v>
      </c>
      <c r="F930" t="s">
        <v>27</v>
      </c>
      <c r="G930" t="s">
        <v>21</v>
      </c>
      <c r="H930" t="s">
        <v>15</v>
      </c>
      <c r="I930">
        <v>2</v>
      </c>
      <c r="J930" t="s">
        <v>23</v>
      </c>
      <c r="K930" t="s">
        <v>32</v>
      </c>
      <c r="L930">
        <v>48</v>
      </c>
      <c r="M930" t="str" cm="1">
        <f t="array" ref="M930">_xlfn.IFS(
L930&gt;50,"Old Age",
L930&gt;=31,"Middle Age",
L930&lt;31,"Young Age"
)</f>
        <v>Middle Age</v>
      </c>
      <c r="N930" t="s">
        <v>18</v>
      </c>
      <c r="O930" t="str" cm="1">
        <f t="array" ref="O930">_xlfn.IFS(D930&gt;120000, "High Income", D930&gt;=80000, "Average Income", D930&lt;80000, "Low Income")</f>
        <v>Low Income</v>
      </c>
      <c r="P930">
        <f>IF(Table24[[#This Row],[Purchased Bike]]="Yes",1,0)</f>
        <v>0</v>
      </c>
    </row>
    <row r="931" spans="1:16" hidden="1" x14ac:dyDescent="0.25">
      <c r="A931">
        <v>23459</v>
      </c>
      <c r="B931" t="s">
        <v>34</v>
      </c>
      <c r="C931" t="s">
        <v>34</v>
      </c>
      <c r="D931" s="2">
        <v>60000</v>
      </c>
      <c r="E931">
        <v>2</v>
      </c>
      <c r="F931" t="s">
        <v>27</v>
      </c>
      <c r="G931" t="s">
        <v>21</v>
      </c>
      <c r="H931" t="s">
        <v>15</v>
      </c>
      <c r="I931">
        <v>2</v>
      </c>
      <c r="J931" t="s">
        <v>23</v>
      </c>
      <c r="K931" t="s">
        <v>32</v>
      </c>
      <c r="L931">
        <v>50</v>
      </c>
      <c r="M931" t="str" cm="1">
        <f t="array" ref="M931">_xlfn.IFS(
L931&gt;50,"Old Age",
L931&gt;=31,"Middle Age",
L931&lt;31,"Young Age"
)</f>
        <v>Middle Age</v>
      </c>
      <c r="N931" t="s">
        <v>18</v>
      </c>
      <c r="O931" t="str" cm="1">
        <f t="array" ref="O931">_xlfn.IFS(D931&gt;120000, "High Income", D931&gt;=80000, "Average Income", D931&lt;80000, "Low Income")</f>
        <v>Low Income</v>
      </c>
      <c r="P931">
        <f>IF(Table24[[#This Row],[Purchased Bike]]="Yes",1,0)</f>
        <v>0</v>
      </c>
    </row>
    <row r="932" spans="1:16" hidden="1" x14ac:dyDescent="0.25">
      <c r="A932">
        <v>19543</v>
      </c>
      <c r="B932" t="s">
        <v>34</v>
      </c>
      <c r="C932" t="s">
        <v>34</v>
      </c>
      <c r="D932" s="2">
        <v>70000</v>
      </c>
      <c r="E932">
        <v>5</v>
      </c>
      <c r="F932" t="s">
        <v>31</v>
      </c>
      <c r="G932" t="s">
        <v>21</v>
      </c>
      <c r="H932" t="s">
        <v>18</v>
      </c>
      <c r="I932">
        <v>3</v>
      </c>
      <c r="J932" t="s">
        <v>30</v>
      </c>
      <c r="K932" t="s">
        <v>32</v>
      </c>
      <c r="L932">
        <v>47</v>
      </c>
      <c r="M932" t="str" cm="1">
        <f t="array" ref="M932">_xlfn.IFS(
L932&gt;50,"Old Age",
L932&gt;=31,"Middle Age",
L932&lt;31,"Young Age"
)</f>
        <v>Middle Age</v>
      </c>
      <c r="N932" t="s">
        <v>18</v>
      </c>
      <c r="O932" t="str" cm="1">
        <f t="array" ref="O932">_xlfn.IFS(D932&gt;120000, "High Income", D932&gt;=80000, "Average Income", D932&lt;80000, "Low Income")</f>
        <v>Low Income</v>
      </c>
      <c r="P932">
        <f>IF(Table24[[#This Row],[Purchased Bike]]="Yes",1,0)</f>
        <v>0</v>
      </c>
    </row>
    <row r="933" spans="1:16" x14ac:dyDescent="0.25">
      <c r="A933">
        <v>14914</v>
      </c>
      <c r="B933" t="s">
        <v>34</v>
      </c>
      <c r="C933" t="s">
        <v>33</v>
      </c>
      <c r="D933" s="2">
        <v>40000</v>
      </c>
      <c r="E933">
        <v>1</v>
      </c>
      <c r="F933" t="s">
        <v>19</v>
      </c>
      <c r="G933" t="s">
        <v>20</v>
      </c>
      <c r="H933" t="s">
        <v>15</v>
      </c>
      <c r="I933">
        <v>1</v>
      </c>
      <c r="J933" t="s">
        <v>26</v>
      </c>
      <c r="K933" t="s">
        <v>32</v>
      </c>
      <c r="L933">
        <v>49</v>
      </c>
      <c r="M933" t="str" cm="1">
        <f t="array" ref="M933">_xlfn.IFS(
L933&gt;50,"Old Age",
L933&gt;=31,"Middle Age",
L933&lt;31,"Young Age"
)</f>
        <v>Middle Age</v>
      </c>
      <c r="N933" t="s">
        <v>15</v>
      </c>
      <c r="O933" t="str" cm="1">
        <f t="array" ref="O933">_xlfn.IFS(D933&gt;120000, "High Income", D933&gt;=80000, "Average Income", D933&lt;80000, "Low Income")</f>
        <v>Low Income</v>
      </c>
      <c r="P933">
        <f>IF(Table24[[#This Row],[Purchased Bike]]="Yes",1,0)</f>
        <v>1</v>
      </c>
    </row>
    <row r="934" spans="1:16" hidden="1" x14ac:dyDescent="0.25">
      <c r="A934">
        <v>12033</v>
      </c>
      <c r="B934" t="s">
        <v>35</v>
      </c>
      <c r="C934" t="s">
        <v>33</v>
      </c>
      <c r="D934" s="2">
        <v>40000</v>
      </c>
      <c r="E934">
        <v>0</v>
      </c>
      <c r="F934" t="s">
        <v>27</v>
      </c>
      <c r="G934" t="s">
        <v>14</v>
      </c>
      <c r="H934" t="s">
        <v>18</v>
      </c>
      <c r="I934">
        <v>2</v>
      </c>
      <c r="J934" t="s">
        <v>16</v>
      </c>
      <c r="K934" t="s">
        <v>32</v>
      </c>
      <c r="L934">
        <v>27</v>
      </c>
      <c r="M934" t="str" cm="1">
        <f t="array" ref="M934">_xlfn.IFS(
L934&gt;50,"Old Age",
L934&gt;=31,"Middle Age",
L934&lt;31,"Young Age"
)</f>
        <v>Young Age</v>
      </c>
      <c r="N934" t="s">
        <v>15</v>
      </c>
      <c r="O934" t="str" cm="1">
        <f t="array" ref="O934">_xlfn.IFS(D934&gt;120000, "High Income", D934&gt;=80000, "Average Income", D934&lt;80000, "Low Income")</f>
        <v>Low Income</v>
      </c>
      <c r="P934">
        <f>IF(Table24[[#This Row],[Purchased Bike]]="Yes",1,0)</f>
        <v>1</v>
      </c>
    </row>
    <row r="935" spans="1:16" hidden="1" x14ac:dyDescent="0.25">
      <c r="A935">
        <v>11941</v>
      </c>
      <c r="B935" t="s">
        <v>35</v>
      </c>
      <c r="C935" t="s">
        <v>34</v>
      </c>
      <c r="D935" s="2">
        <v>60000</v>
      </c>
      <c r="E935">
        <v>0</v>
      </c>
      <c r="F935" t="s">
        <v>19</v>
      </c>
      <c r="G935" t="s">
        <v>14</v>
      </c>
      <c r="H935" t="s">
        <v>15</v>
      </c>
      <c r="I935">
        <v>0</v>
      </c>
      <c r="J935" t="s">
        <v>23</v>
      </c>
      <c r="K935" t="s">
        <v>32</v>
      </c>
      <c r="L935">
        <v>29</v>
      </c>
      <c r="M935" t="str" cm="1">
        <f t="array" ref="M935">_xlfn.IFS(
L935&gt;50,"Old Age",
L935&gt;=31,"Middle Age",
L935&lt;31,"Young Age"
)</f>
        <v>Young Age</v>
      </c>
      <c r="N935" t="s">
        <v>18</v>
      </c>
      <c r="O935" t="str" cm="1">
        <f t="array" ref="O935">_xlfn.IFS(D935&gt;120000, "High Income", D935&gt;=80000, "Average Income", D935&lt;80000, "Low Income")</f>
        <v>Low Income</v>
      </c>
      <c r="P935">
        <f>IF(Table24[[#This Row],[Purchased Bike]]="Yes",1,0)</f>
        <v>0</v>
      </c>
    </row>
    <row r="936" spans="1:16" hidden="1" x14ac:dyDescent="0.25">
      <c r="A936">
        <v>14389</v>
      </c>
      <c r="B936" t="s">
        <v>34</v>
      </c>
      <c r="C936" t="s">
        <v>34</v>
      </c>
      <c r="D936" s="2">
        <v>60000</v>
      </c>
      <c r="E936">
        <v>2</v>
      </c>
      <c r="F936" t="s">
        <v>13</v>
      </c>
      <c r="G936" t="s">
        <v>28</v>
      </c>
      <c r="H936" t="s">
        <v>15</v>
      </c>
      <c r="I936">
        <v>0</v>
      </c>
      <c r="J936" t="s">
        <v>22</v>
      </c>
      <c r="K936" t="s">
        <v>32</v>
      </c>
      <c r="L936">
        <v>59</v>
      </c>
      <c r="M936" t="str" cm="1">
        <f t="array" ref="M936">_xlfn.IFS(
L936&gt;50,"Old Age",
L936&gt;=31,"Middle Age",
L936&lt;31,"Young Age"
)</f>
        <v>Old Age</v>
      </c>
      <c r="N936" t="s">
        <v>18</v>
      </c>
      <c r="O936" t="str" cm="1">
        <f t="array" ref="O936">_xlfn.IFS(D936&gt;120000, "High Income", D936&gt;=80000, "Average Income", D936&lt;80000, "Low Income")</f>
        <v>Low Income</v>
      </c>
      <c r="P936">
        <f>IF(Table24[[#This Row],[Purchased Bike]]="Yes",1,0)</f>
        <v>0</v>
      </c>
    </row>
    <row r="937" spans="1:16" x14ac:dyDescent="0.25">
      <c r="A937">
        <v>18050</v>
      </c>
      <c r="B937" t="s">
        <v>34</v>
      </c>
      <c r="C937" t="s">
        <v>33</v>
      </c>
      <c r="D937" s="2">
        <v>60000</v>
      </c>
      <c r="E937">
        <v>1</v>
      </c>
      <c r="F937" t="s">
        <v>19</v>
      </c>
      <c r="G937" t="s">
        <v>14</v>
      </c>
      <c r="H937" t="s">
        <v>15</v>
      </c>
      <c r="I937">
        <v>1</v>
      </c>
      <c r="J937" t="s">
        <v>16</v>
      </c>
      <c r="K937" t="s">
        <v>32</v>
      </c>
      <c r="L937">
        <v>45</v>
      </c>
      <c r="M937" t="str" cm="1">
        <f t="array" ref="M937">_xlfn.IFS(
L937&gt;50,"Old Age",
L937&gt;=31,"Middle Age",
L937&lt;31,"Young Age"
)</f>
        <v>Middle Age</v>
      </c>
      <c r="N937" t="s">
        <v>15</v>
      </c>
      <c r="O937" t="str" cm="1">
        <f t="array" ref="O937">_xlfn.IFS(D937&gt;120000, "High Income", D937&gt;=80000, "Average Income", D937&lt;80000, "Low Income")</f>
        <v>Low Income</v>
      </c>
      <c r="P937">
        <f>IF(Table24[[#This Row],[Purchased Bike]]="Yes",1,0)</f>
        <v>1</v>
      </c>
    </row>
    <row r="938" spans="1:16" hidden="1" x14ac:dyDescent="0.25">
      <c r="A938">
        <v>19856</v>
      </c>
      <c r="B938" t="s">
        <v>34</v>
      </c>
      <c r="C938" t="s">
        <v>33</v>
      </c>
      <c r="D938" s="2">
        <v>60000</v>
      </c>
      <c r="E938">
        <v>4</v>
      </c>
      <c r="F938" t="s">
        <v>13</v>
      </c>
      <c r="G938" t="s">
        <v>28</v>
      </c>
      <c r="H938" t="s">
        <v>15</v>
      </c>
      <c r="I938">
        <v>2</v>
      </c>
      <c r="J938" t="s">
        <v>22</v>
      </c>
      <c r="K938" t="s">
        <v>32</v>
      </c>
      <c r="L938">
        <v>60</v>
      </c>
      <c r="M938" t="str" cm="1">
        <f t="array" ref="M938">_xlfn.IFS(
L938&gt;50,"Old Age",
L938&gt;=31,"Middle Age",
L938&lt;31,"Young Age"
)</f>
        <v>Old Age</v>
      </c>
      <c r="N938" t="s">
        <v>18</v>
      </c>
      <c r="O938" t="str" cm="1">
        <f t="array" ref="O938">_xlfn.IFS(D938&gt;120000, "High Income", D938&gt;=80000, "Average Income", D938&lt;80000, "Low Income")</f>
        <v>Low Income</v>
      </c>
      <c r="P938">
        <f>IF(Table24[[#This Row],[Purchased Bike]]="Yes",1,0)</f>
        <v>0</v>
      </c>
    </row>
    <row r="939" spans="1:16" x14ac:dyDescent="0.25">
      <c r="A939">
        <v>11663</v>
      </c>
      <c r="B939" t="s">
        <v>34</v>
      </c>
      <c r="C939" t="s">
        <v>34</v>
      </c>
      <c r="D939" s="2">
        <v>70000</v>
      </c>
      <c r="E939">
        <v>4</v>
      </c>
      <c r="F939" t="s">
        <v>31</v>
      </c>
      <c r="G939" t="s">
        <v>21</v>
      </c>
      <c r="H939" t="s">
        <v>15</v>
      </c>
      <c r="I939">
        <v>0</v>
      </c>
      <c r="J939" t="s">
        <v>16</v>
      </c>
      <c r="K939" t="s">
        <v>32</v>
      </c>
      <c r="L939">
        <v>36</v>
      </c>
      <c r="M939" t="str" cm="1">
        <f t="array" ref="M939">_xlfn.IFS(
L939&gt;50,"Old Age",
L939&gt;=31,"Middle Age",
L939&lt;31,"Young Age"
)</f>
        <v>Middle Age</v>
      </c>
      <c r="N939" t="s">
        <v>15</v>
      </c>
      <c r="O939" t="str" cm="1">
        <f t="array" ref="O939">_xlfn.IFS(D939&gt;120000, "High Income", D939&gt;=80000, "Average Income", D939&lt;80000, "Low Income")</f>
        <v>Low Income</v>
      </c>
      <c r="P939">
        <f>IF(Table24[[#This Row],[Purchased Bike]]="Yes",1,0)</f>
        <v>1</v>
      </c>
    </row>
    <row r="940" spans="1:16" hidden="1" x14ac:dyDescent="0.25">
      <c r="A940">
        <v>27740</v>
      </c>
      <c r="B940" t="s">
        <v>34</v>
      </c>
      <c r="C940" t="s">
        <v>33</v>
      </c>
      <c r="D940" s="2">
        <v>40000</v>
      </c>
      <c r="E940">
        <v>0</v>
      </c>
      <c r="F940" t="s">
        <v>27</v>
      </c>
      <c r="G940" t="s">
        <v>14</v>
      </c>
      <c r="H940" t="s">
        <v>15</v>
      </c>
      <c r="I940">
        <v>2</v>
      </c>
      <c r="J940" t="s">
        <v>23</v>
      </c>
      <c r="K940" t="s">
        <v>32</v>
      </c>
      <c r="L940">
        <v>27</v>
      </c>
      <c r="M940" t="str" cm="1">
        <f t="array" ref="M940">_xlfn.IFS(
L940&gt;50,"Old Age",
L940&gt;=31,"Middle Age",
L940&lt;31,"Young Age"
)</f>
        <v>Young Age</v>
      </c>
      <c r="N940" t="s">
        <v>18</v>
      </c>
      <c r="O940" t="str" cm="1">
        <f t="array" ref="O940">_xlfn.IFS(D940&gt;120000, "High Income", D940&gt;=80000, "Average Income", D940&lt;80000, "Low Income")</f>
        <v>Low Income</v>
      </c>
      <c r="P940">
        <f>IF(Table24[[#This Row],[Purchased Bike]]="Yes",1,0)</f>
        <v>0</v>
      </c>
    </row>
    <row r="941" spans="1:16" hidden="1" x14ac:dyDescent="0.25">
      <c r="A941">
        <v>23455</v>
      </c>
      <c r="B941" t="s">
        <v>35</v>
      </c>
      <c r="C941" t="s">
        <v>34</v>
      </c>
      <c r="D941" s="2">
        <v>80000</v>
      </c>
      <c r="E941">
        <v>2</v>
      </c>
      <c r="F941" t="s">
        <v>29</v>
      </c>
      <c r="G941" t="s">
        <v>14</v>
      </c>
      <c r="H941" t="s">
        <v>18</v>
      </c>
      <c r="I941">
        <v>2</v>
      </c>
      <c r="J941" t="s">
        <v>26</v>
      </c>
      <c r="K941" t="s">
        <v>32</v>
      </c>
      <c r="L941">
        <v>50</v>
      </c>
      <c r="M941" t="str" cm="1">
        <f t="array" ref="M941">_xlfn.IFS(
L941&gt;50,"Old Age",
L941&gt;=31,"Middle Age",
L941&lt;31,"Young Age"
)</f>
        <v>Middle Age</v>
      </c>
      <c r="N941" t="s">
        <v>18</v>
      </c>
      <c r="O941" t="str" cm="1">
        <f t="array" ref="O941">_xlfn.IFS(D941&gt;120000, "High Income", D941&gt;=80000, "Average Income", D941&lt;80000, "Low Income")</f>
        <v>Average Income</v>
      </c>
      <c r="P941">
        <f>IF(Table24[[#This Row],[Purchased Bike]]="Yes",1,0)</f>
        <v>0</v>
      </c>
    </row>
    <row r="942" spans="1:16" hidden="1" x14ac:dyDescent="0.25">
      <c r="A942">
        <v>15292</v>
      </c>
      <c r="B942" t="s">
        <v>35</v>
      </c>
      <c r="C942" t="s">
        <v>33</v>
      </c>
      <c r="D942" s="2">
        <v>60000</v>
      </c>
      <c r="E942">
        <v>1</v>
      </c>
      <c r="F942" t="s">
        <v>31</v>
      </c>
      <c r="G942" t="s">
        <v>14</v>
      </c>
      <c r="H942" t="s">
        <v>15</v>
      </c>
      <c r="I942">
        <v>0</v>
      </c>
      <c r="J942" t="s">
        <v>26</v>
      </c>
      <c r="K942" t="s">
        <v>32</v>
      </c>
      <c r="L942">
        <v>35</v>
      </c>
      <c r="M942" t="str" cm="1">
        <f t="array" ref="M942">_xlfn.IFS(
L942&gt;50,"Old Age",
L942&gt;=31,"Middle Age",
L942&lt;31,"Young Age"
)</f>
        <v>Middle Age</v>
      </c>
      <c r="N942" t="s">
        <v>18</v>
      </c>
      <c r="O942" t="str" cm="1">
        <f t="array" ref="O942">_xlfn.IFS(D942&gt;120000, "High Income", D942&gt;=80000, "Average Income", D942&lt;80000, "Low Income")</f>
        <v>Low Income</v>
      </c>
      <c r="P942">
        <f>IF(Table24[[#This Row],[Purchased Bike]]="Yes",1,0)</f>
        <v>0</v>
      </c>
    </row>
    <row r="943" spans="1:16" x14ac:dyDescent="0.25">
      <c r="A943">
        <v>21587</v>
      </c>
      <c r="B943" t="s">
        <v>34</v>
      </c>
      <c r="C943" t="s">
        <v>33</v>
      </c>
      <c r="D943" s="2">
        <v>60000</v>
      </c>
      <c r="E943">
        <v>1</v>
      </c>
      <c r="F943" t="s">
        <v>31</v>
      </c>
      <c r="G943" t="s">
        <v>14</v>
      </c>
      <c r="H943" t="s">
        <v>15</v>
      </c>
      <c r="I943">
        <v>0</v>
      </c>
      <c r="J943" t="s">
        <v>22</v>
      </c>
      <c r="K943" t="s">
        <v>32</v>
      </c>
      <c r="L943">
        <v>34</v>
      </c>
      <c r="M943" t="str" cm="1">
        <f t="array" ref="M943">_xlfn.IFS(
L943&gt;50,"Old Age",
L943&gt;=31,"Middle Age",
L943&lt;31,"Young Age"
)</f>
        <v>Middle Age</v>
      </c>
      <c r="N943" t="s">
        <v>15</v>
      </c>
      <c r="O943" t="str" cm="1">
        <f t="array" ref="O943">_xlfn.IFS(D943&gt;120000, "High Income", D943&gt;=80000, "Average Income", D943&lt;80000, "Low Income")</f>
        <v>Low Income</v>
      </c>
      <c r="P943">
        <f>IF(Table24[[#This Row],[Purchased Bike]]="Yes",1,0)</f>
        <v>1</v>
      </c>
    </row>
    <row r="944" spans="1:16" hidden="1" x14ac:dyDescent="0.25">
      <c r="A944">
        <v>23513</v>
      </c>
      <c r="B944" t="s">
        <v>34</v>
      </c>
      <c r="C944" t="s">
        <v>33</v>
      </c>
      <c r="D944" s="2">
        <v>40000</v>
      </c>
      <c r="E944">
        <v>3</v>
      </c>
      <c r="F944" t="s">
        <v>19</v>
      </c>
      <c r="G944" t="s">
        <v>21</v>
      </c>
      <c r="H944" t="s">
        <v>15</v>
      </c>
      <c r="I944">
        <v>2</v>
      </c>
      <c r="J944" t="s">
        <v>23</v>
      </c>
      <c r="K944" t="s">
        <v>32</v>
      </c>
      <c r="L944">
        <v>54</v>
      </c>
      <c r="M944" t="str" cm="1">
        <f t="array" ref="M944">_xlfn.IFS(
L944&gt;50,"Old Age",
L944&gt;=31,"Middle Age",
L944&lt;31,"Young Age"
)</f>
        <v>Old Age</v>
      </c>
      <c r="N944" t="s">
        <v>18</v>
      </c>
      <c r="O944" t="str" cm="1">
        <f t="array" ref="O944">_xlfn.IFS(D944&gt;120000, "High Income", D944&gt;=80000, "Average Income", D944&lt;80000, "Low Income")</f>
        <v>Low Income</v>
      </c>
      <c r="P944">
        <f>IF(Table24[[#This Row],[Purchased Bike]]="Yes",1,0)</f>
        <v>0</v>
      </c>
    </row>
    <row r="945" spans="1:16" hidden="1" x14ac:dyDescent="0.25">
      <c r="A945">
        <v>24322</v>
      </c>
      <c r="B945" t="s">
        <v>34</v>
      </c>
      <c r="C945" t="s">
        <v>33</v>
      </c>
      <c r="D945" s="2">
        <v>60000</v>
      </c>
      <c r="E945">
        <v>4</v>
      </c>
      <c r="F945" t="s">
        <v>13</v>
      </c>
      <c r="G945" t="s">
        <v>14</v>
      </c>
      <c r="H945" t="s">
        <v>18</v>
      </c>
      <c r="I945">
        <v>2</v>
      </c>
      <c r="J945" t="s">
        <v>16</v>
      </c>
      <c r="K945" t="s">
        <v>32</v>
      </c>
      <c r="L945">
        <v>42</v>
      </c>
      <c r="M945" t="str" cm="1">
        <f t="array" ref="M945">_xlfn.IFS(
L945&gt;50,"Old Age",
L945&gt;=31,"Middle Age",
L945&lt;31,"Young Age"
)</f>
        <v>Middle Age</v>
      </c>
      <c r="N945" t="s">
        <v>18</v>
      </c>
      <c r="O945" t="str" cm="1">
        <f t="array" ref="O945">_xlfn.IFS(D945&gt;120000, "High Income", D945&gt;=80000, "Average Income", D945&lt;80000, "Low Income")</f>
        <v>Low Income</v>
      </c>
      <c r="P945">
        <f>IF(Table24[[#This Row],[Purchased Bike]]="Yes",1,0)</f>
        <v>0</v>
      </c>
    </row>
    <row r="946" spans="1:16" x14ac:dyDescent="0.25">
      <c r="A946">
        <v>26298</v>
      </c>
      <c r="B946" t="s">
        <v>34</v>
      </c>
      <c r="C946" t="s">
        <v>33</v>
      </c>
      <c r="D946" s="2">
        <v>50000</v>
      </c>
      <c r="E946">
        <v>1</v>
      </c>
      <c r="F946" t="s">
        <v>13</v>
      </c>
      <c r="G946" t="s">
        <v>14</v>
      </c>
      <c r="H946" t="s">
        <v>15</v>
      </c>
      <c r="I946">
        <v>0</v>
      </c>
      <c r="J946" t="s">
        <v>22</v>
      </c>
      <c r="K946" t="s">
        <v>32</v>
      </c>
      <c r="L946">
        <v>34</v>
      </c>
      <c r="M946" t="str" cm="1">
        <f t="array" ref="M946">_xlfn.IFS(
L946&gt;50,"Old Age",
L946&gt;=31,"Middle Age",
L946&lt;31,"Young Age"
)</f>
        <v>Middle Age</v>
      </c>
      <c r="N946" t="s">
        <v>15</v>
      </c>
      <c r="O946" t="str" cm="1">
        <f t="array" ref="O946">_xlfn.IFS(D946&gt;120000, "High Income", D946&gt;=80000, "Average Income", D946&lt;80000, "Low Income")</f>
        <v>Low Income</v>
      </c>
      <c r="P946">
        <f>IF(Table24[[#This Row],[Purchased Bike]]="Yes",1,0)</f>
        <v>1</v>
      </c>
    </row>
    <row r="947" spans="1:16" x14ac:dyDescent="0.25">
      <c r="A947">
        <v>25419</v>
      </c>
      <c r="B947" t="s">
        <v>35</v>
      </c>
      <c r="C947" t="s">
        <v>34</v>
      </c>
      <c r="D947" s="2">
        <v>50000</v>
      </c>
      <c r="E947">
        <v>2</v>
      </c>
      <c r="F947" t="s">
        <v>13</v>
      </c>
      <c r="G947" t="s">
        <v>14</v>
      </c>
      <c r="H947" t="s">
        <v>18</v>
      </c>
      <c r="I947">
        <v>1</v>
      </c>
      <c r="J947" t="s">
        <v>16</v>
      </c>
      <c r="K947" t="s">
        <v>32</v>
      </c>
      <c r="L947">
        <v>38</v>
      </c>
      <c r="M947" t="str" cm="1">
        <f t="array" ref="M947">_xlfn.IFS(
L947&gt;50,"Old Age",
L947&gt;=31,"Middle Age",
L947&lt;31,"Young Age"
)</f>
        <v>Middle Age</v>
      </c>
      <c r="N947" t="s">
        <v>15</v>
      </c>
      <c r="O947" t="str" cm="1">
        <f t="array" ref="O947">_xlfn.IFS(D947&gt;120000, "High Income", D947&gt;=80000, "Average Income", D947&lt;80000, "Low Income")</f>
        <v>Low Income</v>
      </c>
      <c r="P947">
        <f>IF(Table24[[#This Row],[Purchased Bike]]="Yes",1,0)</f>
        <v>1</v>
      </c>
    </row>
    <row r="948" spans="1:16" hidden="1" x14ac:dyDescent="0.25">
      <c r="A948">
        <v>13343</v>
      </c>
      <c r="B948" t="s">
        <v>34</v>
      </c>
      <c r="C948" t="s">
        <v>33</v>
      </c>
      <c r="D948" s="2">
        <v>90000</v>
      </c>
      <c r="E948">
        <v>5</v>
      </c>
      <c r="F948" t="s">
        <v>13</v>
      </c>
      <c r="G948" t="s">
        <v>28</v>
      </c>
      <c r="H948" t="s">
        <v>15</v>
      </c>
      <c r="I948">
        <v>2</v>
      </c>
      <c r="J948" t="s">
        <v>26</v>
      </c>
      <c r="K948" t="s">
        <v>32</v>
      </c>
      <c r="L948">
        <v>63</v>
      </c>
      <c r="M948" t="str" cm="1">
        <f t="array" ref="M948">_xlfn.IFS(
L948&gt;50,"Old Age",
L948&gt;=31,"Middle Age",
L948&lt;31,"Young Age"
)</f>
        <v>Old Age</v>
      </c>
      <c r="N948" t="s">
        <v>15</v>
      </c>
      <c r="O948" t="str" cm="1">
        <f t="array" ref="O948">_xlfn.IFS(D948&gt;120000, "High Income", D948&gt;=80000, "Average Income", D948&lt;80000, "Low Income")</f>
        <v>Average Income</v>
      </c>
      <c r="P948">
        <f>IF(Table24[[#This Row],[Purchased Bike]]="Yes",1,0)</f>
        <v>1</v>
      </c>
    </row>
    <row r="949" spans="1:16" x14ac:dyDescent="0.25">
      <c r="A949">
        <v>11303</v>
      </c>
      <c r="B949" t="s">
        <v>35</v>
      </c>
      <c r="C949" t="s">
        <v>33</v>
      </c>
      <c r="D949" s="2">
        <v>90000</v>
      </c>
      <c r="E949">
        <v>4</v>
      </c>
      <c r="F949" t="s">
        <v>27</v>
      </c>
      <c r="G949" t="s">
        <v>21</v>
      </c>
      <c r="H949" t="s">
        <v>18</v>
      </c>
      <c r="I949">
        <v>3</v>
      </c>
      <c r="J949" t="s">
        <v>26</v>
      </c>
      <c r="K949" t="s">
        <v>32</v>
      </c>
      <c r="L949">
        <v>45</v>
      </c>
      <c r="M949" t="str" cm="1">
        <f t="array" ref="M949">_xlfn.IFS(
L949&gt;50,"Old Age",
L949&gt;=31,"Middle Age",
L949&lt;31,"Young Age"
)</f>
        <v>Middle Age</v>
      </c>
      <c r="N949" t="s">
        <v>15</v>
      </c>
      <c r="O949" t="str" cm="1">
        <f t="array" ref="O949">_xlfn.IFS(D949&gt;120000, "High Income", D949&gt;=80000, "Average Income", D949&lt;80000, "Low Income")</f>
        <v>Average Income</v>
      </c>
      <c r="P949">
        <f>IF(Table24[[#This Row],[Purchased Bike]]="Yes",1,0)</f>
        <v>1</v>
      </c>
    </row>
    <row r="950" spans="1:16" hidden="1" x14ac:dyDescent="0.25">
      <c r="A950">
        <v>21693</v>
      </c>
      <c r="B950" t="s">
        <v>35</v>
      </c>
      <c r="C950" t="s">
        <v>33</v>
      </c>
      <c r="D950" s="2">
        <v>60000</v>
      </c>
      <c r="E950">
        <v>0</v>
      </c>
      <c r="F950" t="s">
        <v>31</v>
      </c>
      <c r="G950" t="s">
        <v>14</v>
      </c>
      <c r="H950" t="s">
        <v>18</v>
      </c>
      <c r="I950">
        <v>0</v>
      </c>
      <c r="J950" t="s">
        <v>16</v>
      </c>
      <c r="K950" t="s">
        <v>32</v>
      </c>
      <c r="L950">
        <v>40</v>
      </c>
      <c r="M950" t="str" cm="1">
        <f t="array" ref="M950">_xlfn.IFS(
L950&gt;50,"Old Age",
L950&gt;=31,"Middle Age",
L950&lt;31,"Young Age"
)</f>
        <v>Middle Age</v>
      </c>
      <c r="N950" t="s">
        <v>18</v>
      </c>
      <c r="O950" t="str" cm="1">
        <f t="array" ref="O950">_xlfn.IFS(D950&gt;120000, "High Income", D950&gt;=80000, "Average Income", D950&lt;80000, "Low Income")</f>
        <v>Low Income</v>
      </c>
      <c r="P950">
        <f>IF(Table24[[#This Row],[Purchased Bike]]="Yes",1,0)</f>
        <v>0</v>
      </c>
    </row>
    <row r="951" spans="1:16" hidden="1" x14ac:dyDescent="0.25">
      <c r="A951">
        <v>28056</v>
      </c>
      <c r="B951" t="s">
        <v>34</v>
      </c>
      <c r="C951" t="s">
        <v>34</v>
      </c>
      <c r="D951" s="2">
        <v>70000</v>
      </c>
      <c r="E951">
        <v>2</v>
      </c>
      <c r="F951" t="s">
        <v>29</v>
      </c>
      <c r="G951" t="s">
        <v>14</v>
      </c>
      <c r="H951" t="s">
        <v>15</v>
      </c>
      <c r="I951">
        <v>2</v>
      </c>
      <c r="J951" t="s">
        <v>30</v>
      </c>
      <c r="K951" t="s">
        <v>32</v>
      </c>
      <c r="L951">
        <v>53</v>
      </c>
      <c r="M951" t="str" cm="1">
        <f t="array" ref="M951">_xlfn.IFS(
L951&gt;50,"Old Age",
L951&gt;=31,"Middle Age",
L951&lt;31,"Young Age"
)</f>
        <v>Old Age</v>
      </c>
      <c r="N951" t="s">
        <v>18</v>
      </c>
      <c r="O951" t="str" cm="1">
        <f t="array" ref="O951">_xlfn.IFS(D951&gt;120000, "High Income", D951&gt;=80000, "Average Income", D951&lt;80000, "Low Income")</f>
        <v>Low Income</v>
      </c>
      <c r="P951">
        <f>IF(Table24[[#This Row],[Purchased Bike]]="Yes",1,0)</f>
        <v>0</v>
      </c>
    </row>
    <row r="952" spans="1:16" hidden="1" x14ac:dyDescent="0.25">
      <c r="A952">
        <v>11788</v>
      </c>
      <c r="B952" t="s">
        <v>35</v>
      </c>
      <c r="C952" t="s">
        <v>33</v>
      </c>
      <c r="D952" s="2">
        <v>70000</v>
      </c>
      <c r="E952">
        <v>1</v>
      </c>
      <c r="F952" t="s">
        <v>31</v>
      </c>
      <c r="G952" t="s">
        <v>21</v>
      </c>
      <c r="H952" t="s">
        <v>15</v>
      </c>
      <c r="I952">
        <v>0</v>
      </c>
      <c r="J952" t="s">
        <v>22</v>
      </c>
      <c r="K952" t="s">
        <v>32</v>
      </c>
      <c r="L952">
        <v>34</v>
      </c>
      <c r="M952" t="str" cm="1">
        <f t="array" ref="M952">_xlfn.IFS(
L952&gt;50,"Old Age",
L952&gt;=31,"Middle Age",
L952&lt;31,"Young Age"
)</f>
        <v>Middle Age</v>
      </c>
      <c r="N952" t="s">
        <v>18</v>
      </c>
      <c r="O952" t="str" cm="1">
        <f t="array" ref="O952">_xlfn.IFS(D952&gt;120000, "High Income", D952&gt;=80000, "Average Income", D952&lt;80000, "Low Income")</f>
        <v>Low Income</v>
      </c>
      <c r="P952">
        <f>IF(Table24[[#This Row],[Purchased Bike]]="Yes",1,0)</f>
        <v>0</v>
      </c>
    </row>
    <row r="953" spans="1:16" hidden="1" x14ac:dyDescent="0.25">
      <c r="A953">
        <v>22296</v>
      </c>
      <c r="B953" t="s">
        <v>34</v>
      </c>
      <c r="C953" t="s">
        <v>34</v>
      </c>
      <c r="D953" s="2">
        <v>70000</v>
      </c>
      <c r="E953">
        <v>0</v>
      </c>
      <c r="F953" t="s">
        <v>13</v>
      </c>
      <c r="G953" t="s">
        <v>21</v>
      </c>
      <c r="H953" t="s">
        <v>18</v>
      </c>
      <c r="I953">
        <v>1</v>
      </c>
      <c r="J953" t="s">
        <v>16</v>
      </c>
      <c r="K953" t="s">
        <v>32</v>
      </c>
      <c r="L953">
        <v>38</v>
      </c>
      <c r="M953" t="str" cm="1">
        <f t="array" ref="M953">_xlfn.IFS(
L953&gt;50,"Old Age",
L953&gt;=31,"Middle Age",
L953&lt;31,"Young Age"
)</f>
        <v>Middle Age</v>
      </c>
      <c r="N953" t="s">
        <v>18</v>
      </c>
      <c r="O953" t="str" cm="1">
        <f t="array" ref="O953">_xlfn.IFS(D953&gt;120000, "High Income", D953&gt;=80000, "Average Income", D953&lt;80000, "Low Income")</f>
        <v>Low Income</v>
      </c>
      <c r="P953">
        <f>IF(Table24[[#This Row],[Purchased Bike]]="Yes",1,0)</f>
        <v>0</v>
      </c>
    </row>
    <row r="954" spans="1:16" hidden="1" x14ac:dyDescent="0.25">
      <c r="A954">
        <v>15319</v>
      </c>
      <c r="B954" t="s">
        <v>34</v>
      </c>
      <c r="C954" t="s">
        <v>33</v>
      </c>
      <c r="D954" s="2">
        <v>70000</v>
      </c>
      <c r="E954">
        <v>4</v>
      </c>
      <c r="F954" t="s">
        <v>13</v>
      </c>
      <c r="G954" t="s">
        <v>28</v>
      </c>
      <c r="H954" t="s">
        <v>18</v>
      </c>
      <c r="I954">
        <v>1</v>
      </c>
      <c r="J954" t="s">
        <v>26</v>
      </c>
      <c r="K954" t="s">
        <v>32</v>
      </c>
      <c r="L954">
        <v>59</v>
      </c>
      <c r="M954" t="str" cm="1">
        <f t="array" ref="M954">_xlfn.IFS(
L954&gt;50,"Old Age",
L954&gt;=31,"Middle Age",
L954&lt;31,"Young Age"
)</f>
        <v>Old Age</v>
      </c>
      <c r="N954" t="s">
        <v>18</v>
      </c>
      <c r="O954" t="str" cm="1">
        <f t="array" ref="O954">_xlfn.IFS(D954&gt;120000, "High Income", D954&gt;=80000, "Average Income", D954&lt;80000, "Low Income")</f>
        <v>Low Income</v>
      </c>
      <c r="P954">
        <f>IF(Table24[[#This Row],[Purchased Bike]]="Yes",1,0)</f>
        <v>0</v>
      </c>
    </row>
    <row r="955" spans="1:16" hidden="1" x14ac:dyDescent="0.25">
      <c r="A955">
        <v>17654</v>
      </c>
      <c r="B955" t="s">
        <v>35</v>
      </c>
      <c r="C955" t="s">
        <v>33</v>
      </c>
      <c r="D955" s="2">
        <v>40000</v>
      </c>
      <c r="E955">
        <v>3</v>
      </c>
      <c r="F955" t="s">
        <v>19</v>
      </c>
      <c r="G955" t="s">
        <v>20</v>
      </c>
      <c r="H955" t="s">
        <v>15</v>
      </c>
      <c r="I955">
        <v>1</v>
      </c>
      <c r="J955" t="s">
        <v>26</v>
      </c>
      <c r="K955" t="s">
        <v>32</v>
      </c>
      <c r="L955">
        <v>30</v>
      </c>
      <c r="M955" t="str" cm="1">
        <f t="array" ref="M955">_xlfn.IFS(
L955&gt;50,"Old Age",
L955&gt;=31,"Middle Age",
L955&lt;31,"Young Age"
)</f>
        <v>Young Age</v>
      </c>
      <c r="N955" t="s">
        <v>15</v>
      </c>
      <c r="O955" t="str" cm="1">
        <f t="array" ref="O955">_xlfn.IFS(D955&gt;120000, "High Income", D955&gt;=80000, "Average Income", D955&lt;80000, "Low Income")</f>
        <v>Low Income</v>
      </c>
      <c r="P955">
        <f>IF(Table24[[#This Row],[Purchased Bike]]="Yes",1,0)</f>
        <v>1</v>
      </c>
    </row>
    <row r="956" spans="1:16" x14ac:dyDescent="0.25">
      <c r="A956">
        <v>14662</v>
      </c>
      <c r="B956" t="s">
        <v>34</v>
      </c>
      <c r="C956" t="s">
        <v>34</v>
      </c>
      <c r="D956" s="2">
        <v>60000</v>
      </c>
      <c r="E956">
        <v>1</v>
      </c>
      <c r="F956" t="s">
        <v>13</v>
      </c>
      <c r="G956" t="s">
        <v>21</v>
      </c>
      <c r="H956" t="s">
        <v>15</v>
      </c>
      <c r="I956">
        <v>1</v>
      </c>
      <c r="J956" t="s">
        <v>16</v>
      </c>
      <c r="K956" t="s">
        <v>32</v>
      </c>
      <c r="L956">
        <v>48</v>
      </c>
      <c r="M956" t="str" cm="1">
        <f t="array" ref="M956">_xlfn.IFS(
L956&gt;50,"Old Age",
L956&gt;=31,"Middle Age",
L956&lt;31,"Young Age"
)</f>
        <v>Middle Age</v>
      </c>
      <c r="N956" t="s">
        <v>15</v>
      </c>
      <c r="O956" t="str" cm="1">
        <f t="array" ref="O956">_xlfn.IFS(D956&gt;120000, "High Income", D956&gt;=80000, "Average Income", D956&lt;80000, "Low Income")</f>
        <v>Low Income</v>
      </c>
      <c r="P956">
        <f>IF(Table24[[#This Row],[Purchased Bike]]="Yes",1,0)</f>
        <v>1</v>
      </c>
    </row>
    <row r="957" spans="1:16" hidden="1" x14ac:dyDescent="0.25">
      <c r="A957">
        <v>17541</v>
      </c>
      <c r="B957" t="s">
        <v>34</v>
      </c>
      <c r="C957" t="s">
        <v>33</v>
      </c>
      <c r="D957" s="2">
        <v>40000</v>
      </c>
      <c r="E957">
        <v>4</v>
      </c>
      <c r="F957" t="s">
        <v>27</v>
      </c>
      <c r="G957" t="s">
        <v>14</v>
      </c>
      <c r="H957" t="s">
        <v>15</v>
      </c>
      <c r="I957">
        <v>2</v>
      </c>
      <c r="J957" t="s">
        <v>22</v>
      </c>
      <c r="K957" t="s">
        <v>32</v>
      </c>
      <c r="L957">
        <v>43</v>
      </c>
      <c r="M957" t="str" cm="1">
        <f t="array" ref="M957">_xlfn.IFS(
L957&gt;50,"Old Age",
L957&gt;=31,"Middle Age",
L957&lt;31,"Young Age"
)</f>
        <v>Middle Age</v>
      </c>
      <c r="N957" t="s">
        <v>18</v>
      </c>
      <c r="O957" t="str" cm="1">
        <f t="array" ref="O957">_xlfn.IFS(D957&gt;120000, "High Income", D957&gt;=80000, "Average Income", D957&lt;80000, "Low Income")</f>
        <v>Low Income</v>
      </c>
      <c r="P957">
        <f>IF(Table24[[#This Row],[Purchased Bike]]="Yes",1,0)</f>
        <v>0</v>
      </c>
    </row>
    <row r="958" spans="1:16" x14ac:dyDescent="0.25">
      <c r="A958">
        <v>13886</v>
      </c>
      <c r="B958" t="s">
        <v>34</v>
      </c>
      <c r="C958" t="s">
        <v>33</v>
      </c>
      <c r="D958" s="2">
        <v>70000</v>
      </c>
      <c r="E958">
        <v>4</v>
      </c>
      <c r="F958" t="s">
        <v>31</v>
      </c>
      <c r="G958" t="s">
        <v>21</v>
      </c>
      <c r="H958" t="s">
        <v>15</v>
      </c>
      <c r="I958">
        <v>0</v>
      </c>
      <c r="J958" t="s">
        <v>22</v>
      </c>
      <c r="K958" t="s">
        <v>32</v>
      </c>
      <c r="L958">
        <v>35</v>
      </c>
      <c r="M958" t="str" cm="1">
        <f t="array" ref="M958">_xlfn.IFS(
L958&gt;50,"Old Age",
L958&gt;=31,"Middle Age",
L958&lt;31,"Young Age"
)</f>
        <v>Middle Age</v>
      </c>
      <c r="N958" t="s">
        <v>15</v>
      </c>
      <c r="O958" t="str" cm="1">
        <f t="array" ref="O958">_xlfn.IFS(D958&gt;120000, "High Income", D958&gt;=80000, "Average Income", D958&lt;80000, "Low Income")</f>
        <v>Low Income</v>
      </c>
      <c r="P958">
        <f>IF(Table24[[#This Row],[Purchased Bike]]="Yes",1,0)</f>
        <v>1</v>
      </c>
    </row>
    <row r="959" spans="1:16" hidden="1" x14ac:dyDescent="0.25">
      <c r="A959">
        <v>13073</v>
      </c>
      <c r="B959" t="s">
        <v>34</v>
      </c>
      <c r="C959" t="s">
        <v>33</v>
      </c>
      <c r="D959" s="2">
        <v>60000</v>
      </c>
      <c r="E959">
        <v>0</v>
      </c>
      <c r="F959" t="s">
        <v>19</v>
      </c>
      <c r="G959" t="s">
        <v>21</v>
      </c>
      <c r="H959" t="s">
        <v>15</v>
      </c>
      <c r="I959">
        <v>2</v>
      </c>
      <c r="J959" t="s">
        <v>23</v>
      </c>
      <c r="K959" t="s">
        <v>32</v>
      </c>
      <c r="L959">
        <v>30</v>
      </c>
      <c r="M959" t="str" cm="1">
        <f t="array" ref="M959">_xlfn.IFS(
L959&gt;50,"Old Age",
L959&gt;=31,"Middle Age",
L959&lt;31,"Young Age"
)</f>
        <v>Young Age</v>
      </c>
      <c r="N959" t="s">
        <v>18</v>
      </c>
      <c r="O959" t="str" cm="1">
        <f t="array" ref="O959">_xlfn.IFS(D959&gt;120000, "High Income", D959&gt;=80000, "Average Income", D959&lt;80000, "Low Income")</f>
        <v>Low Income</v>
      </c>
      <c r="P959">
        <f>IF(Table24[[#This Row],[Purchased Bike]]="Yes",1,0)</f>
        <v>0</v>
      </c>
    </row>
    <row r="960" spans="1:16" x14ac:dyDescent="0.25">
      <c r="A960">
        <v>21940</v>
      </c>
      <c r="B960" t="s">
        <v>34</v>
      </c>
      <c r="C960" t="s">
        <v>34</v>
      </c>
      <c r="D960" s="2">
        <v>90000</v>
      </c>
      <c r="E960">
        <v>5</v>
      </c>
      <c r="F960" t="s">
        <v>31</v>
      </c>
      <c r="G960" t="s">
        <v>21</v>
      </c>
      <c r="H960" t="s">
        <v>15</v>
      </c>
      <c r="I960">
        <v>0</v>
      </c>
      <c r="J960" t="s">
        <v>16</v>
      </c>
      <c r="K960" t="s">
        <v>32</v>
      </c>
      <c r="L960">
        <v>47</v>
      </c>
      <c r="M960" t="str" cm="1">
        <f t="array" ref="M960">_xlfn.IFS(
L960&gt;50,"Old Age",
L960&gt;=31,"Middle Age",
L960&lt;31,"Young Age"
)</f>
        <v>Middle Age</v>
      </c>
      <c r="N960" t="s">
        <v>15</v>
      </c>
      <c r="O960" t="str" cm="1">
        <f t="array" ref="O960">_xlfn.IFS(D960&gt;120000, "High Income", D960&gt;=80000, "Average Income", D960&lt;80000, "Low Income")</f>
        <v>Average Income</v>
      </c>
      <c r="P960">
        <f>IF(Table24[[#This Row],[Purchased Bike]]="Yes",1,0)</f>
        <v>1</v>
      </c>
    </row>
    <row r="961" spans="1:16" x14ac:dyDescent="0.25">
      <c r="A961">
        <v>20196</v>
      </c>
      <c r="B961" t="s">
        <v>34</v>
      </c>
      <c r="C961" t="s">
        <v>34</v>
      </c>
      <c r="D961" s="2">
        <v>60000</v>
      </c>
      <c r="E961">
        <v>1</v>
      </c>
      <c r="F961" t="s">
        <v>19</v>
      </c>
      <c r="G961" t="s">
        <v>14</v>
      </c>
      <c r="H961" t="s">
        <v>15</v>
      </c>
      <c r="I961">
        <v>1</v>
      </c>
      <c r="J961" t="s">
        <v>22</v>
      </c>
      <c r="K961" t="s">
        <v>32</v>
      </c>
      <c r="L961">
        <v>45</v>
      </c>
      <c r="M961" t="str" cm="1">
        <f t="array" ref="M961">_xlfn.IFS(
L961&gt;50,"Old Age",
L961&gt;=31,"Middle Age",
L961&lt;31,"Young Age"
)</f>
        <v>Middle Age</v>
      </c>
      <c r="N961" t="s">
        <v>15</v>
      </c>
      <c r="O961" t="str" cm="1">
        <f t="array" ref="O961">_xlfn.IFS(D961&gt;120000, "High Income", D961&gt;=80000, "Average Income", D961&lt;80000, "Low Income")</f>
        <v>Low Income</v>
      </c>
      <c r="P961">
        <f>IF(Table24[[#This Row],[Purchased Bike]]="Yes",1,0)</f>
        <v>1</v>
      </c>
    </row>
    <row r="962" spans="1:16" hidden="1" x14ac:dyDescent="0.25">
      <c r="A962">
        <v>23491</v>
      </c>
      <c r="B962" t="s">
        <v>35</v>
      </c>
      <c r="C962" t="s">
        <v>34</v>
      </c>
      <c r="D962" s="2">
        <v>100000</v>
      </c>
      <c r="E962">
        <v>0</v>
      </c>
      <c r="F962" t="s">
        <v>19</v>
      </c>
      <c r="G962" t="s">
        <v>21</v>
      </c>
      <c r="H962" t="s">
        <v>18</v>
      </c>
      <c r="I962">
        <v>4</v>
      </c>
      <c r="J962" t="s">
        <v>26</v>
      </c>
      <c r="K962" t="s">
        <v>32</v>
      </c>
      <c r="L962">
        <v>45</v>
      </c>
      <c r="M962" t="str" cm="1">
        <f t="array" ref="M962">_xlfn.IFS(
L962&gt;50,"Old Age",
L962&gt;=31,"Middle Age",
L962&lt;31,"Young Age"
)</f>
        <v>Middle Age</v>
      </c>
      <c r="N962" t="s">
        <v>18</v>
      </c>
      <c r="O962" t="str" cm="1">
        <f t="array" ref="O962">_xlfn.IFS(D962&gt;120000, "High Income", D962&gt;=80000, "Average Income", D962&lt;80000, "Low Income")</f>
        <v>Average Income</v>
      </c>
      <c r="P962">
        <f>IF(Table24[[#This Row],[Purchased Bike]]="Yes",1,0)</f>
        <v>0</v>
      </c>
    </row>
    <row r="963" spans="1:16" hidden="1" x14ac:dyDescent="0.25">
      <c r="A963">
        <v>16651</v>
      </c>
      <c r="B963" t="s">
        <v>34</v>
      </c>
      <c r="C963" t="s">
        <v>33</v>
      </c>
      <c r="D963" s="2">
        <v>120000</v>
      </c>
      <c r="E963">
        <v>2</v>
      </c>
      <c r="F963" t="s">
        <v>13</v>
      </c>
      <c r="G963" t="s">
        <v>28</v>
      </c>
      <c r="H963" t="s">
        <v>15</v>
      </c>
      <c r="I963">
        <v>3</v>
      </c>
      <c r="J963" t="s">
        <v>23</v>
      </c>
      <c r="K963" t="s">
        <v>32</v>
      </c>
      <c r="L963">
        <v>62</v>
      </c>
      <c r="M963" t="str" cm="1">
        <f t="array" ref="M963">_xlfn.IFS(
L963&gt;50,"Old Age",
L963&gt;=31,"Middle Age",
L963&lt;31,"Young Age"
)</f>
        <v>Old Age</v>
      </c>
      <c r="N963" t="s">
        <v>18</v>
      </c>
      <c r="O963" t="str" cm="1">
        <f t="array" ref="O963">_xlfn.IFS(D963&gt;120000, "High Income", D963&gt;=80000, "Average Income", D963&lt;80000, "Low Income")</f>
        <v>Average Income</v>
      </c>
      <c r="P963">
        <f>IF(Table24[[#This Row],[Purchased Bike]]="Yes",1,0)</f>
        <v>0</v>
      </c>
    </row>
    <row r="964" spans="1:16" hidden="1" x14ac:dyDescent="0.25">
      <c r="A964">
        <v>16813</v>
      </c>
      <c r="B964" t="s">
        <v>34</v>
      </c>
      <c r="C964" t="s">
        <v>34</v>
      </c>
      <c r="D964" s="2">
        <v>60000</v>
      </c>
      <c r="E964">
        <v>2</v>
      </c>
      <c r="F964" t="s">
        <v>19</v>
      </c>
      <c r="G964" t="s">
        <v>21</v>
      </c>
      <c r="H964" t="s">
        <v>15</v>
      </c>
      <c r="I964">
        <v>2</v>
      </c>
      <c r="J964" t="s">
        <v>30</v>
      </c>
      <c r="K964" t="s">
        <v>32</v>
      </c>
      <c r="L964">
        <v>55</v>
      </c>
      <c r="M964" t="str" cm="1">
        <f t="array" ref="M964">_xlfn.IFS(
L964&gt;50,"Old Age",
L964&gt;=31,"Middle Age",
L964&lt;31,"Young Age"
)</f>
        <v>Old Age</v>
      </c>
      <c r="N964" t="s">
        <v>18</v>
      </c>
      <c r="O964" t="str" cm="1">
        <f t="array" ref="O964">_xlfn.IFS(D964&gt;120000, "High Income", D964&gt;=80000, "Average Income", D964&lt;80000, "Low Income")</f>
        <v>Low Income</v>
      </c>
      <c r="P964">
        <f>IF(Table24[[#This Row],[Purchased Bike]]="Yes",1,0)</f>
        <v>0</v>
      </c>
    </row>
    <row r="965" spans="1:16" hidden="1" x14ac:dyDescent="0.25">
      <c r="A965">
        <v>16007</v>
      </c>
      <c r="B965" t="s">
        <v>34</v>
      </c>
      <c r="C965" t="s">
        <v>33</v>
      </c>
      <c r="D965" s="2">
        <v>90000</v>
      </c>
      <c r="E965">
        <v>5</v>
      </c>
      <c r="F965" t="s">
        <v>13</v>
      </c>
      <c r="G965" t="s">
        <v>28</v>
      </c>
      <c r="H965" t="s">
        <v>15</v>
      </c>
      <c r="I965">
        <v>2</v>
      </c>
      <c r="J965" t="s">
        <v>26</v>
      </c>
      <c r="K965" t="s">
        <v>32</v>
      </c>
      <c r="L965">
        <v>66</v>
      </c>
      <c r="M965" t="str" cm="1">
        <f t="array" ref="M965">_xlfn.IFS(
L965&gt;50,"Old Age",
L965&gt;=31,"Middle Age",
L965&lt;31,"Young Age"
)</f>
        <v>Old Age</v>
      </c>
      <c r="N965" t="s">
        <v>15</v>
      </c>
      <c r="O965" t="str" cm="1">
        <f t="array" ref="O965">_xlfn.IFS(D965&gt;120000, "High Income", D965&gt;=80000, "Average Income", D965&lt;80000, "Low Income")</f>
        <v>Average Income</v>
      </c>
      <c r="P965">
        <f>IF(Table24[[#This Row],[Purchased Bike]]="Yes",1,0)</f>
        <v>1</v>
      </c>
    </row>
    <row r="966" spans="1:16" hidden="1" x14ac:dyDescent="0.25">
      <c r="A966">
        <v>27434</v>
      </c>
      <c r="B966" t="s">
        <v>35</v>
      </c>
      <c r="C966" t="s">
        <v>34</v>
      </c>
      <c r="D966" s="2">
        <v>70000</v>
      </c>
      <c r="E966">
        <v>4</v>
      </c>
      <c r="F966" t="s">
        <v>19</v>
      </c>
      <c r="G966" t="s">
        <v>21</v>
      </c>
      <c r="H966" t="s">
        <v>15</v>
      </c>
      <c r="I966">
        <v>1</v>
      </c>
      <c r="J966" t="s">
        <v>30</v>
      </c>
      <c r="K966" t="s">
        <v>32</v>
      </c>
      <c r="L966">
        <v>56</v>
      </c>
      <c r="M966" t="str" cm="1">
        <f t="array" ref="M966">_xlfn.IFS(
L966&gt;50,"Old Age",
L966&gt;=31,"Middle Age",
L966&lt;31,"Young Age"
)</f>
        <v>Old Age</v>
      </c>
      <c r="N966" t="s">
        <v>18</v>
      </c>
      <c r="O966" t="str" cm="1">
        <f t="array" ref="O966">_xlfn.IFS(D966&gt;120000, "High Income", D966&gt;=80000, "Average Income", D966&lt;80000, "Low Income")</f>
        <v>Low Income</v>
      </c>
      <c r="P966">
        <f>IF(Table24[[#This Row],[Purchased Bike]]="Yes",1,0)</f>
        <v>0</v>
      </c>
    </row>
    <row r="967" spans="1:16" hidden="1" x14ac:dyDescent="0.25">
      <c r="A967">
        <v>27756</v>
      </c>
      <c r="B967" t="s">
        <v>35</v>
      </c>
      <c r="C967" t="s">
        <v>33</v>
      </c>
      <c r="D967" s="2">
        <v>50000</v>
      </c>
      <c r="E967">
        <v>3</v>
      </c>
      <c r="F967" t="s">
        <v>13</v>
      </c>
      <c r="G967" t="s">
        <v>14</v>
      </c>
      <c r="H967" t="s">
        <v>18</v>
      </c>
      <c r="I967">
        <v>1</v>
      </c>
      <c r="J967" t="s">
        <v>16</v>
      </c>
      <c r="K967" t="s">
        <v>32</v>
      </c>
      <c r="L967">
        <v>40</v>
      </c>
      <c r="M967" t="str" cm="1">
        <f t="array" ref="M967">_xlfn.IFS(
L967&gt;50,"Old Age",
L967&gt;=31,"Middle Age",
L967&lt;31,"Young Age"
)</f>
        <v>Middle Age</v>
      </c>
      <c r="N967" t="s">
        <v>18</v>
      </c>
      <c r="O967" t="str" cm="1">
        <f t="array" ref="O967">_xlfn.IFS(D967&gt;120000, "High Income", D967&gt;=80000, "Average Income", D967&lt;80000, "Low Income")</f>
        <v>Low Income</v>
      </c>
      <c r="P967">
        <f>IF(Table24[[#This Row],[Purchased Bike]]="Yes",1,0)</f>
        <v>0</v>
      </c>
    </row>
    <row r="968" spans="1:16" x14ac:dyDescent="0.25">
      <c r="A968">
        <v>23818</v>
      </c>
      <c r="B968" t="s">
        <v>34</v>
      </c>
      <c r="C968" t="s">
        <v>33</v>
      </c>
      <c r="D968" s="2">
        <v>50000</v>
      </c>
      <c r="E968">
        <v>0</v>
      </c>
      <c r="F968" t="s">
        <v>31</v>
      </c>
      <c r="G968" t="s">
        <v>14</v>
      </c>
      <c r="H968" t="s">
        <v>15</v>
      </c>
      <c r="I968">
        <v>0</v>
      </c>
      <c r="J968" t="s">
        <v>26</v>
      </c>
      <c r="K968" t="s">
        <v>32</v>
      </c>
      <c r="L968">
        <v>33</v>
      </c>
      <c r="M968" t="str" cm="1">
        <f t="array" ref="M968">_xlfn.IFS(
L968&gt;50,"Old Age",
L968&gt;=31,"Middle Age",
L968&lt;31,"Young Age"
)</f>
        <v>Middle Age</v>
      </c>
      <c r="N968" t="s">
        <v>15</v>
      </c>
      <c r="O968" t="str" cm="1">
        <f t="array" ref="O968">_xlfn.IFS(D968&gt;120000, "High Income", D968&gt;=80000, "Average Income", D968&lt;80000, "Low Income")</f>
        <v>Low Income</v>
      </c>
      <c r="P968">
        <f>IF(Table24[[#This Row],[Purchased Bike]]="Yes",1,0)</f>
        <v>1</v>
      </c>
    </row>
    <row r="969" spans="1:16" hidden="1" x14ac:dyDescent="0.25">
      <c r="A969">
        <v>19012</v>
      </c>
      <c r="B969" t="s">
        <v>34</v>
      </c>
      <c r="C969" t="s">
        <v>34</v>
      </c>
      <c r="D969" s="2">
        <v>80000</v>
      </c>
      <c r="E969">
        <v>3</v>
      </c>
      <c r="F969" t="s">
        <v>13</v>
      </c>
      <c r="G969" t="s">
        <v>28</v>
      </c>
      <c r="H969" t="s">
        <v>15</v>
      </c>
      <c r="I969">
        <v>1</v>
      </c>
      <c r="J969" t="s">
        <v>26</v>
      </c>
      <c r="K969" t="s">
        <v>32</v>
      </c>
      <c r="L969">
        <v>56</v>
      </c>
      <c r="M969" t="str" cm="1">
        <f t="array" ref="M969">_xlfn.IFS(
L969&gt;50,"Old Age",
L969&gt;=31,"Middle Age",
L969&lt;31,"Young Age"
)</f>
        <v>Old Age</v>
      </c>
      <c r="N969" t="s">
        <v>18</v>
      </c>
      <c r="O969" t="str" cm="1">
        <f t="array" ref="O969">_xlfn.IFS(D969&gt;120000, "High Income", D969&gt;=80000, "Average Income", D969&lt;80000, "Low Income")</f>
        <v>Average Income</v>
      </c>
      <c r="P969">
        <f>IF(Table24[[#This Row],[Purchased Bike]]="Yes",1,0)</f>
        <v>0</v>
      </c>
    </row>
    <row r="970" spans="1:16" hidden="1" x14ac:dyDescent="0.25">
      <c r="A970">
        <v>18329</v>
      </c>
      <c r="B970" t="s">
        <v>35</v>
      </c>
      <c r="C970" t="s">
        <v>34</v>
      </c>
      <c r="D970" s="2">
        <v>30000</v>
      </c>
      <c r="E970">
        <v>0</v>
      </c>
      <c r="F970" t="s">
        <v>29</v>
      </c>
      <c r="G970" t="s">
        <v>20</v>
      </c>
      <c r="H970" t="s">
        <v>18</v>
      </c>
      <c r="I970">
        <v>2</v>
      </c>
      <c r="J970" t="s">
        <v>23</v>
      </c>
      <c r="K970" t="s">
        <v>32</v>
      </c>
      <c r="L970">
        <v>27</v>
      </c>
      <c r="M970" t="str" cm="1">
        <f t="array" ref="M970">_xlfn.IFS(
L970&gt;50,"Old Age",
L970&gt;=31,"Middle Age",
L970&lt;31,"Young Age"
)</f>
        <v>Young Age</v>
      </c>
      <c r="N970" t="s">
        <v>18</v>
      </c>
      <c r="O970" t="str" cm="1">
        <f t="array" ref="O970">_xlfn.IFS(D970&gt;120000, "High Income", D970&gt;=80000, "Average Income", D970&lt;80000, "Low Income")</f>
        <v>Low Income</v>
      </c>
      <c r="P970">
        <f>IF(Table24[[#This Row],[Purchased Bike]]="Yes",1,0)</f>
        <v>0</v>
      </c>
    </row>
    <row r="971" spans="1:16" hidden="1" x14ac:dyDescent="0.25">
      <c r="A971">
        <v>29037</v>
      </c>
      <c r="B971" t="s">
        <v>34</v>
      </c>
      <c r="C971" t="s">
        <v>34</v>
      </c>
      <c r="D971" s="2">
        <v>60000</v>
      </c>
      <c r="E971">
        <v>0</v>
      </c>
      <c r="F971" t="s">
        <v>31</v>
      </c>
      <c r="G971" t="s">
        <v>21</v>
      </c>
      <c r="H971" t="s">
        <v>18</v>
      </c>
      <c r="I971">
        <v>0</v>
      </c>
      <c r="J971" t="s">
        <v>16</v>
      </c>
      <c r="K971" t="s">
        <v>32</v>
      </c>
      <c r="L971">
        <v>39</v>
      </c>
      <c r="M971" t="str" cm="1">
        <f t="array" ref="M971">_xlfn.IFS(
L971&gt;50,"Old Age",
L971&gt;=31,"Middle Age",
L971&lt;31,"Young Age"
)</f>
        <v>Middle Age</v>
      </c>
      <c r="N971" t="s">
        <v>18</v>
      </c>
      <c r="O971" t="str" cm="1">
        <f t="array" ref="O971">_xlfn.IFS(D971&gt;120000, "High Income", D971&gt;=80000, "Average Income", D971&lt;80000, "Low Income")</f>
        <v>Low Income</v>
      </c>
      <c r="P971">
        <f>IF(Table24[[#This Row],[Purchased Bike]]="Yes",1,0)</f>
        <v>0</v>
      </c>
    </row>
    <row r="972" spans="1:16" hidden="1" x14ac:dyDescent="0.25">
      <c r="A972">
        <v>26576</v>
      </c>
      <c r="B972" t="s">
        <v>34</v>
      </c>
      <c r="C972" t="s">
        <v>33</v>
      </c>
      <c r="D972" s="2">
        <v>60000</v>
      </c>
      <c r="E972">
        <v>0</v>
      </c>
      <c r="F972" t="s">
        <v>19</v>
      </c>
      <c r="G972" t="s">
        <v>14</v>
      </c>
      <c r="H972" t="s">
        <v>15</v>
      </c>
      <c r="I972">
        <v>2</v>
      </c>
      <c r="J972" t="s">
        <v>23</v>
      </c>
      <c r="K972" t="s">
        <v>32</v>
      </c>
      <c r="L972">
        <v>31</v>
      </c>
      <c r="M972" t="str" cm="1">
        <f t="array" ref="M972">_xlfn.IFS(
L972&gt;50,"Old Age",
L972&gt;=31,"Middle Age",
L972&lt;31,"Young Age"
)</f>
        <v>Middle Age</v>
      </c>
      <c r="N972" t="s">
        <v>18</v>
      </c>
      <c r="O972" t="str" cm="1">
        <f t="array" ref="O972">_xlfn.IFS(D972&gt;120000, "High Income", D972&gt;=80000, "Average Income", D972&lt;80000, "Low Income")</f>
        <v>Low Income</v>
      </c>
      <c r="P972">
        <f>IF(Table24[[#This Row],[Purchased Bike]]="Yes",1,0)</f>
        <v>0</v>
      </c>
    </row>
    <row r="973" spans="1:16" hidden="1" x14ac:dyDescent="0.25">
      <c r="A973">
        <v>12192</v>
      </c>
      <c r="B973" t="s">
        <v>35</v>
      </c>
      <c r="C973" t="s">
        <v>33</v>
      </c>
      <c r="D973" s="2">
        <v>60000</v>
      </c>
      <c r="E973">
        <v>2</v>
      </c>
      <c r="F973" t="s">
        <v>29</v>
      </c>
      <c r="G973" t="s">
        <v>14</v>
      </c>
      <c r="H973" t="s">
        <v>18</v>
      </c>
      <c r="I973">
        <v>2</v>
      </c>
      <c r="J973" t="s">
        <v>26</v>
      </c>
      <c r="K973" t="s">
        <v>32</v>
      </c>
      <c r="L973">
        <v>51</v>
      </c>
      <c r="M973" t="str" cm="1">
        <f t="array" ref="M973">_xlfn.IFS(
L973&gt;50,"Old Age",
L973&gt;=31,"Middle Age",
L973&lt;31,"Young Age"
)</f>
        <v>Old Age</v>
      </c>
      <c r="N973" t="s">
        <v>18</v>
      </c>
      <c r="O973" t="str" cm="1">
        <f t="array" ref="O973">_xlfn.IFS(D973&gt;120000, "High Income", D973&gt;=80000, "Average Income", D973&lt;80000, "Low Income")</f>
        <v>Low Income</v>
      </c>
      <c r="P973">
        <f>IF(Table24[[#This Row],[Purchased Bike]]="Yes",1,0)</f>
        <v>0</v>
      </c>
    </row>
    <row r="974" spans="1:16" hidden="1" x14ac:dyDescent="0.25">
      <c r="A974">
        <v>14887</v>
      </c>
      <c r="B974" t="s">
        <v>34</v>
      </c>
      <c r="C974" t="s">
        <v>33</v>
      </c>
      <c r="D974" s="2">
        <v>30000</v>
      </c>
      <c r="E974">
        <v>1</v>
      </c>
      <c r="F974" t="s">
        <v>27</v>
      </c>
      <c r="G974" t="s">
        <v>20</v>
      </c>
      <c r="H974" t="s">
        <v>15</v>
      </c>
      <c r="I974">
        <v>1</v>
      </c>
      <c r="J974" t="s">
        <v>23</v>
      </c>
      <c r="K974" t="s">
        <v>32</v>
      </c>
      <c r="L974">
        <v>52</v>
      </c>
      <c r="M974" t="str" cm="1">
        <f t="array" ref="M974">_xlfn.IFS(
L974&gt;50,"Old Age",
L974&gt;=31,"Middle Age",
L974&lt;31,"Young Age"
)</f>
        <v>Old Age</v>
      </c>
      <c r="N974" t="s">
        <v>18</v>
      </c>
      <c r="O974" t="str" cm="1">
        <f t="array" ref="O974">_xlfn.IFS(D974&gt;120000, "High Income", D974&gt;=80000, "Average Income", D974&lt;80000, "Low Income")</f>
        <v>Low Income</v>
      </c>
      <c r="P974">
        <f>IF(Table24[[#This Row],[Purchased Bike]]="Yes",1,0)</f>
        <v>0</v>
      </c>
    </row>
    <row r="975" spans="1:16" hidden="1" x14ac:dyDescent="0.25">
      <c r="A975">
        <v>11734</v>
      </c>
      <c r="B975" t="s">
        <v>34</v>
      </c>
      <c r="C975" t="s">
        <v>34</v>
      </c>
      <c r="D975" s="2">
        <v>60000</v>
      </c>
      <c r="E975">
        <v>1</v>
      </c>
      <c r="F975" t="s">
        <v>19</v>
      </c>
      <c r="G975" t="s">
        <v>14</v>
      </c>
      <c r="H975" t="s">
        <v>18</v>
      </c>
      <c r="I975">
        <v>1</v>
      </c>
      <c r="J975" t="s">
        <v>16</v>
      </c>
      <c r="K975" t="s">
        <v>32</v>
      </c>
      <c r="L975">
        <v>47</v>
      </c>
      <c r="M975" t="str" cm="1">
        <f t="array" ref="M975">_xlfn.IFS(
L975&gt;50,"Old Age",
L975&gt;=31,"Middle Age",
L975&lt;31,"Young Age"
)</f>
        <v>Middle Age</v>
      </c>
      <c r="N975" t="s">
        <v>18</v>
      </c>
      <c r="O975" t="str" cm="1">
        <f t="array" ref="O975">_xlfn.IFS(D975&gt;120000, "High Income", D975&gt;=80000, "Average Income", D975&lt;80000, "Low Income")</f>
        <v>Low Income</v>
      </c>
      <c r="P975">
        <f>IF(Table24[[#This Row],[Purchased Bike]]="Yes",1,0)</f>
        <v>0</v>
      </c>
    </row>
    <row r="976" spans="1:16" hidden="1" x14ac:dyDescent="0.25">
      <c r="A976">
        <v>17462</v>
      </c>
      <c r="B976" t="s">
        <v>34</v>
      </c>
      <c r="C976" t="s">
        <v>34</v>
      </c>
      <c r="D976" s="2">
        <v>70000</v>
      </c>
      <c r="E976">
        <v>3</v>
      </c>
      <c r="F976" t="s">
        <v>31</v>
      </c>
      <c r="G976" t="s">
        <v>28</v>
      </c>
      <c r="H976" t="s">
        <v>15</v>
      </c>
      <c r="I976">
        <v>2</v>
      </c>
      <c r="J976" t="s">
        <v>23</v>
      </c>
      <c r="K976" t="s">
        <v>32</v>
      </c>
      <c r="L976">
        <v>53</v>
      </c>
      <c r="M976" t="str" cm="1">
        <f t="array" ref="M976">_xlfn.IFS(
L976&gt;50,"Old Age",
L976&gt;=31,"Middle Age",
L976&lt;31,"Young Age"
)</f>
        <v>Old Age</v>
      </c>
      <c r="N976" t="s">
        <v>15</v>
      </c>
      <c r="O976" t="str" cm="1">
        <f t="array" ref="O976">_xlfn.IFS(D976&gt;120000, "High Income", D976&gt;=80000, "Average Income", D976&lt;80000, "Low Income")</f>
        <v>Low Income</v>
      </c>
      <c r="P976">
        <f>IF(Table24[[#This Row],[Purchased Bike]]="Yes",1,0)</f>
        <v>1</v>
      </c>
    </row>
    <row r="977" spans="1:16" x14ac:dyDescent="0.25">
      <c r="A977">
        <v>20659</v>
      </c>
      <c r="B977" t="s">
        <v>34</v>
      </c>
      <c r="C977" t="s">
        <v>34</v>
      </c>
      <c r="D977" s="2">
        <v>70000</v>
      </c>
      <c r="E977">
        <v>3</v>
      </c>
      <c r="F977" t="s">
        <v>31</v>
      </c>
      <c r="G977" t="s">
        <v>21</v>
      </c>
      <c r="H977" t="s">
        <v>15</v>
      </c>
      <c r="I977">
        <v>0</v>
      </c>
      <c r="J977" t="s">
        <v>16</v>
      </c>
      <c r="K977" t="s">
        <v>32</v>
      </c>
      <c r="L977">
        <v>35</v>
      </c>
      <c r="M977" t="str" cm="1">
        <f t="array" ref="M977">_xlfn.IFS(
L977&gt;50,"Old Age",
L977&gt;=31,"Middle Age",
L977&lt;31,"Young Age"
)</f>
        <v>Middle Age</v>
      </c>
      <c r="N977" t="s">
        <v>15</v>
      </c>
      <c r="O977" t="str" cm="1">
        <f t="array" ref="O977">_xlfn.IFS(D977&gt;120000, "High Income", D977&gt;=80000, "Average Income", D977&lt;80000, "Low Income")</f>
        <v>Low Income</v>
      </c>
      <c r="P977">
        <f>IF(Table24[[#This Row],[Purchased Bike]]="Yes",1,0)</f>
        <v>1</v>
      </c>
    </row>
    <row r="978" spans="1:16" hidden="1" x14ac:dyDescent="0.25">
      <c r="A978">
        <v>28004</v>
      </c>
      <c r="B978" t="s">
        <v>34</v>
      </c>
      <c r="C978" t="s">
        <v>33</v>
      </c>
      <c r="D978" s="2">
        <v>60000</v>
      </c>
      <c r="E978">
        <v>3</v>
      </c>
      <c r="F978" t="s">
        <v>13</v>
      </c>
      <c r="G978" t="s">
        <v>28</v>
      </c>
      <c r="H978" t="s">
        <v>15</v>
      </c>
      <c r="I978">
        <v>2</v>
      </c>
      <c r="J978" t="s">
        <v>30</v>
      </c>
      <c r="K978" t="s">
        <v>32</v>
      </c>
      <c r="L978">
        <v>66</v>
      </c>
      <c r="M978" t="str" cm="1">
        <f t="array" ref="M978">_xlfn.IFS(
L978&gt;50,"Old Age",
L978&gt;=31,"Middle Age",
L978&lt;31,"Young Age"
)</f>
        <v>Old Age</v>
      </c>
      <c r="N978" t="s">
        <v>18</v>
      </c>
      <c r="O978" t="str" cm="1">
        <f t="array" ref="O978">_xlfn.IFS(D978&gt;120000, "High Income", D978&gt;=80000, "Average Income", D978&lt;80000, "Low Income")</f>
        <v>Low Income</v>
      </c>
      <c r="P978">
        <f>IF(Table24[[#This Row],[Purchased Bike]]="Yes",1,0)</f>
        <v>0</v>
      </c>
    </row>
    <row r="979" spans="1:16" hidden="1" x14ac:dyDescent="0.25">
      <c r="A979">
        <v>19741</v>
      </c>
      <c r="B979" t="s">
        <v>35</v>
      </c>
      <c r="C979" t="s">
        <v>33</v>
      </c>
      <c r="D979" s="2">
        <v>80000</v>
      </c>
      <c r="E979">
        <v>4</v>
      </c>
      <c r="F979" t="s">
        <v>31</v>
      </c>
      <c r="G979" t="s">
        <v>28</v>
      </c>
      <c r="H979" t="s">
        <v>15</v>
      </c>
      <c r="I979">
        <v>2</v>
      </c>
      <c r="J979" t="s">
        <v>23</v>
      </c>
      <c r="K979" t="s">
        <v>32</v>
      </c>
      <c r="L979">
        <v>65</v>
      </c>
      <c r="M979" t="str" cm="1">
        <f t="array" ref="M979">_xlfn.IFS(
L979&gt;50,"Old Age",
L979&gt;=31,"Middle Age",
L979&lt;31,"Young Age"
)</f>
        <v>Old Age</v>
      </c>
      <c r="N979" t="s">
        <v>18</v>
      </c>
      <c r="O979" t="str" cm="1">
        <f t="array" ref="O979">_xlfn.IFS(D979&gt;120000, "High Income", D979&gt;=80000, "Average Income", D979&lt;80000, "Low Income")</f>
        <v>Average Income</v>
      </c>
      <c r="P979">
        <f>IF(Table24[[#This Row],[Purchased Bike]]="Yes",1,0)</f>
        <v>0</v>
      </c>
    </row>
    <row r="980" spans="1:16" hidden="1" x14ac:dyDescent="0.25">
      <c r="A980">
        <v>17450</v>
      </c>
      <c r="B980" t="s">
        <v>34</v>
      </c>
      <c r="C980" t="s">
        <v>34</v>
      </c>
      <c r="D980" s="2">
        <v>80000</v>
      </c>
      <c r="E980">
        <v>5</v>
      </c>
      <c r="F980" t="s">
        <v>19</v>
      </c>
      <c r="G980" t="s">
        <v>21</v>
      </c>
      <c r="H980" t="s">
        <v>15</v>
      </c>
      <c r="I980">
        <v>3</v>
      </c>
      <c r="J980" t="s">
        <v>23</v>
      </c>
      <c r="K980" t="s">
        <v>32</v>
      </c>
      <c r="L980">
        <v>45</v>
      </c>
      <c r="M980" t="str" cm="1">
        <f t="array" ref="M980">_xlfn.IFS(
L980&gt;50,"Old Age",
L980&gt;=31,"Middle Age",
L980&lt;31,"Young Age"
)</f>
        <v>Middle Age</v>
      </c>
      <c r="N980" t="s">
        <v>18</v>
      </c>
      <c r="O980" t="str" cm="1">
        <f t="array" ref="O980">_xlfn.IFS(D980&gt;120000, "High Income", D980&gt;=80000, "Average Income", D980&lt;80000, "Low Income")</f>
        <v>Average Income</v>
      </c>
      <c r="P980">
        <f>IF(Table24[[#This Row],[Purchased Bike]]="Yes",1,0)</f>
        <v>0</v>
      </c>
    </row>
    <row r="981" spans="1:16" hidden="1" x14ac:dyDescent="0.25">
      <c r="A981">
        <v>17337</v>
      </c>
      <c r="B981" t="s">
        <v>35</v>
      </c>
      <c r="C981" t="s">
        <v>34</v>
      </c>
      <c r="D981" s="2">
        <v>40000</v>
      </c>
      <c r="E981">
        <v>0</v>
      </c>
      <c r="F981" t="s">
        <v>27</v>
      </c>
      <c r="G981" t="s">
        <v>14</v>
      </c>
      <c r="H981" t="s">
        <v>15</v>
      </c>
      <c r="I981">
        <v>1</v>
      </c>
      <c r="J981" t="s">
        <v>23</v>
      </c>
      <c r="K981" t="s">
        <v>32</v>
      </c>
      <c r="L981">
        <v>31</v>
      </c>
      <c r="M981" t="str" cm="1">
        <f t="array" ref="M981">_xlfn.IFS(
L981&gt;50,"Old Age",
L981&gt;=31,"Middle Age",
L981&lt;31,"Young Age"
)</f>
        <v>Middle Age</v>
      </c>
      <c r="N981" t="s">
        <v>18</v>
      </c>
      <c r="O981" t="str" cm="1">
        <f t="array" ref="O981">_xlfn.IFS(D981&gt;120000, "High Income", D981&gt;=80000, "Average Income", D981&lt;80000, "Low Income")</f>
        <v>Low Income</v>
      </c>
      <c r="P981">
        <f>IF(Table24[[#This Row],[Purchased Bike]]="Yes",1,0)</f>
        <v>0</v>
      </c>
    </row>
    <row r="982" spans="1:16" x14ac:dyDescent="0.25">
      <c r="A982">
        <v>18594</v>
      </c>
      <c r="B982" t="s">
        <v>35</v>
      </c>
      <c r="C982" t="s">
        <v>33</v>
      </c>
      <c r="D982" s="2">
        <v>80000</v>
      </c>
      <c r="E982">
        <v>3</v>
      </c>
      <c r="F982" t="s">
        <v>13</v>
      </c>
      <c r="G982" t="s">
        <v>14</v>
      </c>
      <c r="H982" t="s">
        <v>15</v>
      </c>
      <c r="I982">
        <v>3</v>
      </c>
      <c r="J982" t="s">
        <v>30</v>
      </c>
      <c r="K982" t="s">
        <v>32</v>
      </c>
      <c r="L982">
        <v>40</v>
      </c>
      <c r="M982" t="str" cm="1">
        <f t="array" ref="M982">_xlfn.IFS(
L982&gt;50,"Old Age",
L982&gt;=31,"Middle Age",
L982&lt;31,"Young Age"
)</f>
        <v>Middle Age</v>
      </c>
      <c r="N982" t="s">
        <v>15</v>
      </c>
      <c r="O982" t="str" cm="1">
        <f t="array" ref="O982">_xlfn.IFS(D982&gt;120000, "High Income", D982&gt;=80000, "Average Income", D982&lt;80000, "Low Income")</f>
        <v>Average Income</v>
      </c>
      <c r="P982">
        <f>IF(Table24[[#This Row],[Purchased Bike]]="Yes",1,0)</f>
        <v>1</v>
      </c>
    </row>
    <row r="983" spans="1:16" hidden="1" x14ac:dyDescent="0.25">
      <c r="A983">
        <v>15982</v>
      </c>
      <c r="B983" t="s">
        <v>34</v>
      </c>
      <c r="C983" t="s">
        <v>34</v>
      </c>
      <c r="D983" s="2">
        <v>110000</v>
      </c>
      <c r="E983">
        <v>5</v>
      </c>
      <c r="F983" t="s">
        <v>19</v>
      </c>
      <c r="G983" t="s">
        <v>21</v>
      </c>
      <c r="H983" t="s">
        <v>15</v>
      </c>
      <c r="I983">
        <v>4</v>
      </c>
      <c r="J983" t="s">
        <v>22</v>
      </c>
      <c r="K983" t="s">
        <v>32</v>
      </c>
      <c r="L983">
        <v>46</v>
      </c>
      <c r="M983" t="str" cm="1">
        <f t="array" ref="M983">_xlfn.IFS(
L983&gt;50,"Old Age",
L983&gt;=31,"Middle Age",
L983&lt;31,"Young Age"
)</f>
        <v>Middle Age</v>
      </c>
      <c r="N983" t="s">
        <v>18</v>
      </c>
      <c r="O983" t="str" cm="1">
        <f t="array" ref="O983">_xlfn.IFS(D983&gt;120000, "High Income", D983&gt;=80000, "Average Income", D983&lt;80000, "Low Income")</f>
        <v>Average Income</v>
      </c>
      <c r="P983">
        <f>IF(Table24[[#This Row],[Purchased Bike]]="Yes",1,0)</f>
        <v>0</v>
      </c>
    </row>
    <row r="984" spans="1:16" x14ac:dyDescent="0.25">
      <c r="A984">
        <v>28625</v>
      </c>
      <c r="B984" t="s">
        <v>35</v>
      </c>
      <c r="C984" t="s">
        <v>34</v>
      </c>
      <c r="D984" s="2">
        <v>40000</v>
      </c>
      <c r="E984">
        <v>2</v>
      </c>
      <c r="F984" t="s">
        <v>19</v>
      </c>
      <c r="G984" t="s">
        <v>20</v>
      </c>
      <c r="H984" t="s">
        <v>18</v>
      </c>
      <c r="I984">
        <v>1</v>
      </c>
      <c r="J984" t="s">
        <v>26</v>
      </c>
      <c r="K984" t="s">
        <v>32</v>
      </c>
      <c r="L984">
        <v>47</v>
      </c>
      <c r="M984" t="str" cm="1">
        <f t="array" ref="M984">_xlfn.IFS(
L984&gt;50,"Old Age",
L984&gt;=31,"Middle Age",
L984&lt;31,"Young Age"
)</f>
        <v>Middle Age</v>
      </c>
      <c r="N984" t="s">
        <v>15</v>
      </c>
      <c r="O984" t="str" cm="1">
        <f t="array" ref="O984">_xlfn.IFS(D984&gt;120000, "High Income", D984&gt;=80000, "Average Income", D984&lt;80000, "Low Income")</f>
        <v>Low Income</v>
      </c>
      <c r="P984">
        <f>IF(Table24[[#This Row],[Purchased Bike]]="Yes",1,0)</f>
        <v>1</v>
      </c>
    </row>
    <row r="985" spans="1:16" hidden="1" x14ac:dyDescent="0.25">
      <c r="A985">
        <v>11269</v>
      </c>
      <c r="B985" t="s">
        <v>34</v>
      </c>
      <c r="C985" t="s">
        <v>34</v>
      </c>
      <c r="D985" s="2">
        <v>130000</v>
      </c>
      <c r="E985">
        <v>2</v>
      </c>
      <c r="F985" t="s">
        <v>31</v>
      </c>
      <c r="G985" t="s">
        <v>28</v>
      </c>
      <c r="H985" t="s">
        <v>15</v>
      </c>
      <c r="I985">
        <v>2</v>
      </c>
      <c r="J985" t="s">
        <v>16</v>
      </c>
      <c r="K985" t="s">
        <v>32</v>
      </c>
      <c r="L985">
        <v>41</v>
      </c>
      <c r="M985" t="str" cm="1">
        <f t="array" ref="M985">_xlfn.IFS(
L985&gt;50,"Old Age",
L985&gt;=31,"Middle Age",
L985&lt;31,"Young Age"
)</f>
        <v>Middle Age</v>
      </c>
      <c r="N985" t="s">
        <v>18</v>
      </c>
      <c r="O985" t="str" cm="1">
        <f t="array" ref="O985">_xlfn.IFS(D985&gt;120000, "High Income", D985&gt;=80000, "Average Income", D985&lt;80000, "Low Income")</f>
        <v>High Income</v>
      </c>
      <c r="P985">
        <f>IF(Table24[[#This Row],[Purchased Bike]]="Yes",1,0)</f>
        <v>0</v>
      </c>
    </row>
    <row r="986" spans="1:16" x14ac:dyDescent="0.25">
      <c r="A986">
        <v>25148</v>
      </c>
      <c r="B986" t="s">
        <v>34</v>
      </c>
      <c r="C986" t="s">
        <v>34</v>
      </c>
      <c r="D986" s="2">
        <v>60000</v>
      </c>
      <c r="E986">
        <v>2</v>
      </c>
      <c r="F986" t="s">
        <v>27</v>
      </c>
      <c r="G986" t="s">
        <v>21</v>
      </c>
      <c r="H986" t="s">
        <v>18</v>
      </c>
      <c r="I986">
        <v>2</v>
      </c>
      <c r="J986" t="s">
        <v>26</v>
      </c>
      <c r="K986" t="s">
        <v>32</v>
      </c>
      <c r="L986">
        <v>48</v>
      </c>
      <c r="M986" t="str" cm="1">
        <f t="array" ref="M986">_xlfn.IFS(
L986&gt;50,"Old Age",
L986&gt;=31,"Middle Age",
L986&lt;31,"Young Age"
)</f>
        <v>Middle Age</v>
      </c>
      <c r="N986" t="s">
        <v>15</v>
      </c>
      <c r="O986" t="str" cm="1">
        <f t="array" ref="O986">_xlfn.IFS(D986&gt;120000, "High Income", D986&gt;=80000, "Average Income", D986&lt;80000, "Low Income")</f>
        <v>Low Income</v>
      </c>
      <c r="P986">
        <f>IF(Table24[[#This Row],[Purchased Bike]]="Yes",1,0)</f>
        <v>1</v>
      </c>
    </row>
    <row r="987" spans="1:16" hidden="1" x14ac:dyDescent="0.25">
      <c r="A987">
        <v>13920</v>
      </c>
      <c r="B987" t="s">
        <v>35</v>
      </c>
      <c r="C987" t="s">
        <v>33</v>
      </c>
      <c r="D987" s="2">
        <v>50000</v>
      </c>
      <c r="E987">
        <v>4</v>
      </c>
      <c r="F987" t="s">
        <v>13</v>
      </c>
      <c r="G987" t="s">
        <v>14</v>
      </c>
      <c r="H987" t="s">
        <v>15</v>
      </c>
      <c r="I987">
        <v>2</v>
      </c>
      <c r="J987" t="s">
        <v>16</v>
      </c>
      <c r="K987" t="s">
        <v>32</v>
      </c>
      <c r="L987">
        <v>42</v>
      </c>
      <c r="M987" t="str" cm="1">
        <f t="array" ref="M987">_xlfn.IFS(
L987&gt;50,"Old Age",
L987&gt;=31,"Middle Age",
L987&lt;31,"Young Age"
)</f>
        <v>Middle Age</v>
      </c>
      <c r="N987" t="s">
        <v>18</v>
      </c>
      <c r="O987" t="str" cm="1">
        <f t="array" ref="O987">_xlfn.IFS(D987&gt;120000, "High Income", D987&gt;=80000, "Average Income", D987&lt;80000, "Low Income")</f>
        <v>Low Income</v>
      </c>
      <c r="P987">
        <f>IF(Table24[[#This Row],[Purchased Bike]]="Yes",1,0)</f>
        <v>0</v>
      </c>
    </row>
    <row r="988" spans="1:16" hidden="1" x14ac:dyDescent="0.25">
      <c r="A988">
        <v>23704</v>
      </c>
      <c r="B988" t="s">
        <v>35</v>
      </c>
      <c r="C988" t="s">
        <v>34</v>
      </c>
      <c r="D988" s="2">
        <v>40000</v>
      </c>
      <c r="E988">
        <v>5</v>
      </c>
      <c r="F988" t="s">
        <v>27</v>
      </c>
      <c r="G988" t="s">
        <v>21</v>
      </c>
      <c r="H988" t="s">
        <v>15</v>
      </c>
      <c r="I988">
        <v>4</v>
      </c>
      <c r="J988" t="s">
        <v>30</v>
      </c>
      <c r="K988" t="s">
        <v>32</v>
      </c>
      <c r="L988">
        <v>60</v>
      </c>
      <c r="M988" t="str" cm="1">
        <f t="array" ref="M988">_xlfn.IFS(
L988&gt;50,"Old Age",
L988&gt;=31,"Middle Age",
L988&lt;31,"Young Age"
)</f>
        <v>Old Age</v>
      </c>
      <c r="N988" t="s">
        <v>15</v>
      </c>
      <c r="O988" t="str" cm="1">
        <f t="array" ref="O988">_xlfn.IFS(D988&gt;120000, "High Income", D988&gt;=80000, "Average Income", D988&lt;80000, "Low Income")</f>
        <v>Low Income</v>
      </c>
      <c r="P988">
        <f>IF(Table24[[#This Row],[Purchased Bike]]="Yes",1,0)</f>
        <v>1</v>
      </c>
    </row>
    <row r="989" spans="1:16" hidden="1" x14ac:dyDescent="0.25">
      <c r="A989">
        <v>28972</v>
      </c>
      <c r="B989" t="s">
        <v>35</v>
      </c>
      <c r="C989" t="s">
        <v>33</v>
      </c>
      <c r="D989" s="2">
        <v>60000</v>
      </c>
      <c r="E989">
        <v>3</v>
      </c>
      <c r="F989" t="s">
        <v>31</v>
      </c>
      <c r="G989" t="s">
        <v>28</v>
      </c>
      <c r="H989" t="s">
        <v>15</v>
      </c>
      <c r="I989">
        <v>2</v>
      </c>
      <c r="J989" t="s">
        <v>30</v>
      </c>
      <c r="K989" t="s">
        <v>32</v>
      </c>
      <c r="L989">
        <v>66</v>
      </c>
      <c r="M989" t="str" cm="1">
        <f t="array" ref="M989">_xlfn.IFS(
L989&gt;50,"Old Age",
L989&gt;=31,"Middle Age",
L989&lt;31,"Young Age"
)</f>
        <v>Old Age</v>
      </c>
      <c r="N989" t="s">
        <v>18</v>
      </c>
      <c r="O989" t="str" cm="1">
        <f t="array" ref="O989">_xlfn.IFS(D989&gt;120000, "High Income", D989&gt;=80000, "Average Income", D989&lt;80000, "Low Income")</f>
        <v>Low Income</v>
      </c>
      <c r="P989">
        <f>IF(Table24[[#This Row],[Purchased Bike]]="Yes",1,0)</f>
        <v>0</v>
      </c>
    </row>
    <row r="990" spans="1:16" hidden="1" x14ac:dyDescent="0.25">
      <c r="A990">
        <v>22730</v>
      </c>
      <c r="B990" t="s">
        <v>34</v>
      </c>
      <c r="C990" t="s">
        <v>34</v>
      </c>
      <c r="D990" s="2">
        <v>70000</v>
      </c>
      <c r="E990">
        <v>5</v>
      </c>
      <c r="F990" t="s">
        <v>13</v>
      </c>
      <c r="G990" t="s">
        <v>28</v>
      </c>
      <c r="H990" t="s">
        <v>15</v>
      </c>
      <c r="I990">
        <v>2</v>
      </c>
      <c r="J990" t="s">
        <v>30</v>
      </c>
      <c r="K990" t="s">
        <v>32</v>
      </c>
      <c r="L990">
        <v>63</v>
      </c>
      <c r="M990" t="str" cm="1">
        <f t="array" ref="M990">_xlfn.IFS(
L990&gt;50,"Old Age",
L990&gt;=31,"Middle Age",
L990&lt;31,"Young Age"
)</f>
        <v>Old Age</v>
      </c>
      <c r="N990" t="s">
        <v>18</v>
      </c>
      <c r="O990" t="str" cm="1">
        <f t="array" ref="O990">_xlfn.IFS(D990&gt;120000, "High Income", D990&gt;=80000, "Average Income", D990&lt;80000, "Low Income")</f>
        <v>Low Income</v>
      </c>
      <c r="P990">
        <f>IF(Table24[[#This Row],[Purchased Bike]]="Yes",1,0)</f>
        <v>0</v>
      </c>
    </row>
    <row r="991" spans="1:16" hidden="1" x14ac:dyDescent="0.25">
      <c r="A991">
        <v>29134</v>
      </c>
      <c r="B991" t="s">
        <v>34</v>
      </c>
      <c r="C991" t="s">
        <v>34</v>
      </c>
      <c r="D991" s="2">
        <v>60000</v>
      </c>
      <c r="E991">
        <v>4</v>
      </c>
      <c r="F991" t="s">
        <v>13</v>
      </c>
      <c r="G991" t="s">
        <v>14</v>
      </c>
      <c r="H991" t="s">
        <v>18</v>
      </c>
      <c r="I991">
        <v>3</v>
      </c>
      <c r="J991" t="s">
        <v>30</v>
      </c>
      <c r="K991" t="s">
        <v>32</v>
      </c>
      <c r="L991">
        <v>42</v>
      </c>
      <c r="M991" t="str" cm="1">
        <f t="array" ref="M991">_xlfn.IFS(
L991&gt;50,"Old Age",
L991&gt;=31,"Middle Age",
L991&lt;31,"Young Age"
)</f>
        <v>Middle Age</v>
      </c>
      <c r="N991" t="s">
        <v>18</v>
      </c>
      <c r="O991" t="str" cm="1">
        <f t="array" ref="O991">_xlfn.IFS(D991&gt;120000, "High Income", D991&gt;=80000, "Average Income", D991&lt;80000, "Low Income")</f>
        <v>Low Income</v>
      </c>
      <c r="P991">
        <f>IF(Table24[[#This Row],[Purchased Bike]]="Yes",1,0)</f>
        <v>0</v>
      </c>
    </row>
    <row r="992" spans="1:16" hidden="1" x14ac:dyDescent="0.25">
      <c r="A992">
        <v>14332</v>
      </c>
      <c r="B992" t="s">
        <v>35</v>
      </c>
      <c r="C992" t="s">
        <v>33</v>
      </c>
      <c r="D992" s="2">
        <v>30000</v>
      </c>
      <c r="E992">
        <v>0</v>
      </c>
      <c r="F992" t="s">
        <v>27</v>
      </c>
      <c r="G992" t="s">
        <v>14</v>
      </c>
      <c r="H992" t="s">
        <v>18</v>
      </c>
      <c r="I992">
        <v>2</v>
      </c>
      <c r="J992" t="s">
        <v>23</v>
      </c>
      <c r="K992" t="s">
        <v>32</v>
      </c>
      <c r="L992">
        <v>26</v>
      </c>
      <c r="M992" t="str" cm="1">
        <f t="array" ref="M992">_xlfn.IFS(
L992&gt;50,"Old Age",
L992&gt;=31,"Middle Age",
L992&lt;31,"Young Age"
)</f>
        <v>Young Age</v>
      </c>
      <c r="N992" t="s">
        <v>18</v>
      </c>
      <c r="O992" t="str" cm="1">
        <f t="array" ref="O992">_xlfn.IFS(D992&gt;120000, "High Income", D992&gt;=80000, "Average Income", D992&lt;80000, "Low Income")</f>
        <v>Low Income</v>
      </c>
      <c r="P992">
        <f>IF(Table24[[#This Row],[Purchased Bike]]="Yes",1,0)</f>
        <v>0</v>
      </c>
    </row>
    <row r="993" spans="1:16" x14ac:dyDescent="0.25">
      <c r="A993">
        <v>19117</v>
      </c>
      <c r="B993" t="s">
        <v>35</v>
      </c>
      <c r="C993" t="s">
        <v>33</v>
      </c>
      <c r="D993" s="2">
        <v>60000</v>
      </c>
      <c r="E993">
        <v>1</v>
      </c>
      <c r="F993" t="s">
        <v>31</v>
      </c>
      <c r="G993" t="s">
        <v>21</v>
      </c>
      <c r="H993" t="s">
        <v>15</v>
      </c>
      <c r="I993">
        <v>0</v>
      </c>
      <c r="J993" t="s">
        <v>22</v>
      </c>
      <c r="K993" t="s">
        <v>32</v>
      </c>
      <c r="L993">
        <v>36</v>
      </c>
      <c r="M993" t="str" cm="1">
        <f t="array" ref="M993">_xlfn.IFS(
L993&gt;50,"Old Age",
L993&gt;=31,"Middle Age",
L993&lt;31,"Young Age"
)</f>
        <v>Middle Age</v>
      </c>
      <c r="N993" t="s">
        <v>15</v>
      </c>
      <c r="O993" t="str" cm="1">
        <f t="array" ref="O993">_xlfn.IFS(D993&gt;120000, "High Income", D993&gt;=80000, "Average Income", D993&lt;80000, "Low Income")</f>
        <v>Low Income</v>
      </c>
      <c r="P993">
        <f>IF(Table24[[#This Row],[Purchased Bike]]="Yes",1,0)</f>
        <v>1</v>
      </c>
    </row>
    <row r="994" spans="1:16" x14ac:dyDescent="0.25">
      <c r="A994">
        <v>22864</v>
      </c>
      <c r="B994" t="s">
        <v>34</v>
      </c>
      <c r="C994" t="s">
        <v>34</v>
      </c>
      <c r="D994" s="2">
        <v>90000</v>
      </c>
      <c r="E994">
        <v>2</v>
      </c>
      <c r="F994" t="s">
        <v>19</v>
      </c>
      <c r="G994" t="s">
        <v>21</v>
      </c>
      <c r="H994" t="s">
        <v>18</v>
      </c>
      <c r="I994">
        <v>0</v>
      </c>
      <c r="J994" t="s">
        <v>23</v>
      </c>
      <c r="K994" t="s">
        <v>32</v>
      </c>
      <c r="L994">
        <v>49</v>
      </c>
      <c r="M994" t="str" cm="1">
        <f t="array" ref="M994">_xlfn.IFS(
L994&gt;50,"Old Age",
L994&gt;=31,"Middle Age",
L994&lt;31,"Young Age"
)</f>
        <v>Middle Age</v>
      </c>
      <c r="N994" t="s">
        <v>15</v>
      </c>
      <c r="O994" t="str" cm="1">
        <f t="array" ref="O994">_xlfn.IFS(D994&gt;120000, "High Income", D994&gt;=80000, "Average Income", D994&lt;80000, "Low Income")</f>
        <v>Average Income</v>
      </c>
      <c r="P994">
        <f>IF(Table24[[#This Row],[Purchased Bike]]="Yes",1,0)</f>
        <v>1</v>
      </c>
    </row>
    <row r="995" spans="1:16" x14ac:dyDescent="0.25">
      <c r="A995">
        <v>11292</v>
      </c>
      <c r="B995" t="s">
        <v>35</v>
      </c>
      <c r="C995" t="s">
        <v>34</v>
      </c>
      <c r="D995" s="2">
        <v>150000</v>
      </c>
      <c r="E995">
        <v>1</v>
      </c>
      <c r="F995" t="s">
        <v>19</v>
      </c>
      <c r="G995" t="s">
        <v>21</v>
      </c>
      <c r="H995" t="s">
        <v>18</v>
      </c>
      <c r="I995">
        <v>3</v>
      </c>
      <c r="J995" t="s">
        <v>16</v>
      </c>
      <c r="K995" t="s">
        <v>32</v>
      </c>
      <c r="L995">
        <v>44</v>
      </c>
      <c r="M995" t="str" cm="1">
        <f t="array" ref="M995">_xlfn.IFS(
L995&gt;50,"Old Age",
L995&gt;=31,"Middle Age",
L995&lt;31,"Young Age"
)</f>
        <v>Middle Age</v>
      </c>
      <c r="N995" t="s">
        <v>15</v>
      </c>
      <c r="O995" t="str" cm="1">
        <f t="array" ref="O995">_xlfn.IFS(D995&gt;120000, "High Income", D995&gt;=80000, "Average Income", D995&lt;80000, "Low Income")</f>
        <v>High Income</v>
      </c>
      <c r="P995">
        <f>IF(Table24[[#This Row],[Purchased Bike]]="Yes",1,0)</f>
        <v>1</v>
      </c>
    </row>
    <row r="996" spans="1:16" hidden="1" x14ac:dyDescent="0.25">
      <c r="A996">
        <v>13466</v>
      </c>
      <c r="B996" t="s">
        <v>34</v>
      </c>
      <c r="C996" t="s">
        <v>34</v>
      </c>
      <c r="D996" s="2">
        <v>80000</v>
      </c>
      <c r="E996">
        <v>5</v>
      </c>
      <c r="F996" t="s">
        <v>19</v>
      </c>
      <c r="G996" t="s">
        <v>21</v>
      </c>
      <c r="H996" t="s">
        <v>15</v>
      </c>
      <c r="I996">
        <v>3</v>
      </c>
      <c r="J996" t="s">
        <v>26</v>
      </c>
      <c r="K996" t="s">
        <v>32</v>
      </c>
      <c r="L996">
        <v>46</v>
      </c>
      <c r="M996" t="str" cm="1">
        <f t="array" ref="M996">_xlfn.IFS(
L996&gt;50,"Old Age",
L996&gt;=31,"Middle Age",
L996&lt;31,"Young Age"
)</f>
        <v>Middle Age</v>
      </c>
      <c r="N996" t="s">
        <v>18</v>
      </c>
      <c r="O996" t="str" cm="1">
        <f t="array" ref="O996">_xlfn.IFS(D996&gt;120000, "High Income", D996&gt;=80000, "Average Income", D996&lt;80000, "Low Income")</f>
        <v>Average Income</v>
      </c>
      <c r="P996">
        <f>IF(Table24[[#This Row],[Purchased Bike]]="Yes",1,0)</f>
        <v>0</v>
      </c>
    </row>
    <row r="997" spans="1:16" hidden="1" x14ac:dyDescent="0.25">
      <c r="A997">
        <v>23731</v>
      </c>
      <c r="B997" t="s">
        <v>34</v>
      </c>
      <c r="C997" t="s">
        <v>34</v>
      </c>
      <c r="D997" s="2">
        <v>60000</v>
      </c>
      <c r="E997" s="1">
        <v>2</v>
      </c>
      <c r="F997" t="s">
        <v>27</v>
      </c>
      <c r="G997" t="s">
        <v>21</v>
      </c>
      <c r="H997" t="s">
        <v>15</v>
      </c>
      <c r="I997">
        <v>2</v>
      </c>
      <c r="J997" t="s">
        <v>22</v>
      </c>
      <c r="K997" t="s">
        <v>32</v>
      </c>
      <c r="L997">
        <v>54</v>
      </c>
      <c r="M997" t="str" cm="1">
        <f t="array" ref="M997">_xlfn.IFS(
L997&gt;50,"Old Age",
L997&gt;=31,"Middle Age",
L997&lt;31,"Young Age"
)</f>
        <v>Old Age</v>
      </c>
      <c r="N997" t="s">
        <v>15</v>
      </c>
      <c r="O997" t="str" cm="1">
        <f t="array" ref="O997">_xlfn.IFS(D997&gt;120000, "High Income", D997&gt;=80000, "Average Income", D997&lt;80000, "Low Income")</f>
        <v>Low Income</v>
      </c>
      <c r="P997">
        <f>IF(Table24[[#This Row],[Purchased Bike]]="Yes",1,0)</f>
        <v>1</v>
      </c>
    </row>
    <row r="998" spans="1:16" x14ac:dyDescent="0.25">
      <c r="A998">
        <v>28672</v>
      </c>
      <c r="B998" t="s">
        <v>35</v>
      </c>
      <c r="C998" t="s">
        <v>34</v>
      </c>
      <c r="D998" s="2">
        <v>70000</v>
      </c>
      <c r="E998">
        <v>4</v>
      </c>
      <c r="F998" t="s">
        <v>31</v>
      </c>
      <c r="G998" t="s">
        <v>21</v>
      </c>
      <c r="H998" t="s">
        <v>15</v>
      </c>
      <c r="I998">
        <v>0</v>
      </c>
      <c r="J998" t="s">
        <v>22</v>
      </c>
      <c r="K998" t="s">
        <v>32</v>
      </c>
      <c r="L998">
        <v>35</v>
      </c>
      <c r="M998" t="str" cm="1">
        <f t="array" ref="M998">_xlfn.IFS(
L998&gt;50,"Old Age",
L998&gt;=31,"Middle Age",
L998&lt;31,"Young Age"
)</f>
        <v>Middle Age</v>
      </c>
      <c r="N998" t="s">
        <v>15</v>
      </c>
      <c r="O998" t="str" cm="1">
        <f t="array" ref="O998">_xlfn.IFS(D998&gt;120000, "High Income", D998&gt;=80000, "Average Income", D998&lt;80000, "Low Income")</f>
        <v>Low Income</v>
      </c>
      <c r="P998">
        <f>IF(Table24[[#This Row],[Purchased Bike]]="Yes",1,0)</f>
        <v>1</v>
      </c>
    </row>
    <row r="999" spans="1:16" x14ac:dyDescent="0.25">
      <c r="A999">
        <v>11809</v>
      </c>
      <c r="B999" t="s">
        <v>34</v>
      </c>
      <c r="C999" t="s">
        <v>34</v>
      </c>
      <c r="D999" s="2">
        <v>60000</v>
      </c>
      <c r="E999">
        <v>2</v>
      </c>
      <c r="F999" t="s">
        <v>13</v>
      </c>
      <c r="G999" t="s">
        <v>14</v>
      </c>
      <c r="H999" t="s">
        <v>15</v>
      </c>
      <c r="I999">
        <v>0</v>
      </c>
      <c r="J999" t="s">
        <v>16</v>
      </c>
      <c r="K999" t="s">
        <v>32</v>
      </c>
      <c r="L999">
        <v>38</v>
      </c>
      <c r="M999" t="str" cm="1">
        <f t="array" ref="M999">_xlfn.IFS(
L999&gt;50,"Old Age",
L999&gt;=31,"Middle Age",
L999&lt;31,"Young Age"
)</f>
        <v>Middle Age</v>
      </c>
      <c r="N999" t="s">
        <v>15</v>
      </c>
      <c r="O999" t="str" cm="1">
        <f t="array" ref="O999">_xlfn.IFS(D999&gt;120000, "High Income", D999&gt;=80000, "Average Income", D999&lt;80000, "Low Income")</f>
        <v>Low Income</v>
      </c>
      <c r="P999">
        <f>IF(Table24[[#This Row],[Purchased Bike]]="Yes",1,0)</f>
        <v>1</v>
      </c>
    </row>
    <row r="1000" spans="1:16" hidden="1" x14ac:dyDescent="0.25">
      <c r="A1000">
        <v>19664</v>
      </c>
      <c r="B1000" t="s">
        <v>35</v>
      </c>
      <c r="C1000" t="s">
        <v>34</v>
      </c>
      <c r="D1000" s="2">
        <v>100000</v>
      </c>
      <c r="E1000">
        <v>3</v>
      </c>
      <c r="F1000" t="s">
        <v>13</v>
      </c>
      <c r="G1000" t="s">
        <v>28</v>
      </c>
      <c r="H1000" t="s">
        <v>18</v>
      </c>
      <c r="I1000">
        <v>3</v>
      </c>
      <c r="J1000" t="s">
        <v>26</v>
      </c>
      <c r="K1000" t="s">
        <v>32</v>
      </c>
      <c r="L1000">
        <v>38</v>
      </c>
      <c r="M1000" t="str" cm="1">
        <f t="array" ref="M1000">_xlfn.IFS(
L1000&gt;50,"Old Age",
L1000&gt;=31,"Middle Age",
L1000&lt;31,"Young Age"
)</f>
        <v>Middle Age</v>
      </c>
      <c r="N1000" t="s">
        <v>18</v>
      </c>
      <c r="O1000" t="str" cm="1">
        <f t="array" ref="O1000">_xlfn.IFS(D1000&gt;120000, "High Income", D1000&gt;=80000, "Average Income", D1000&lt;80000, "Low Income")</f>
        <v>Average Income</v>
      </c>
      <c r="P1000">
        <f>IF(Table24[[#This Row],[Purchased Bike]]="Yes",1,0)</f>
        <v>0</v>
      </c>
    </row>
    <row r="1001" spans="1:16" hidden="1" x14ac:dyDescent="0.25">
      <c r="A1001">
        <v>12121</v>
      </c>
      <c r="B1001" t="s">
        <v>35</v>
      </c>
      <c r="C1001" t="s">
        <v>34</v>
      </c>
      <c r="D1001" s="2">
        <v>60000</v>
      </c>
      <c r="E1001">
        <v>3</v>
      </c>
      <c r="F1001" t="s">
        <v>27</v>
      </c>
      <c r="G1001" t="s">
        <v>21</v>
      </c>
      <c r="H1001" t="s">
        <v>15</v>
      </c>
      <c r="I1001">
        <v>2</v>
      </c>
      <c r="J1001" t="s">
        <v>30</v>
      </c>
      <c r="K1001" t="s">
        <v>32</v>
      </c>
      <c r="L1001">
        <v>53</v>
      </c>
      <c r="M1001" t="str" cm="1">
        <f t="array" ref="M1001">_xlfn.IFS(
L1001&gt;50,"Old Age",
L1001&gt;=31,"Middle Age",
L1001&lt;31,"Young Age"
)</f>
        <v>Old Age</v>
      </c>
      <c r="N1001" t="s">
        <v>15</v>
      </c>
      <c r="O1001" t="str" cm="1">
        <f t="array" ref="O1001">_xlfn.IFS(D1001&gt;120000, "High Income", D1001&gt;=80000, "Average Income", D1001&lt;80000, "Low Income")</f>
        <v>Low Income</v>
      </c>
      <c r="P1001">
        <f>IF(Table24[[#This Row],[Purchased Bike]]="Yes",1,0)</f>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D36EF-5243-4E59-82C0-FD3F46EA38DE}">
  <dimension ref="A1:D52"/>
  <sheetViews>
    <sheetView workbookViewId="0">
      <selection activeCell="C36" sqref="C36"/>
    </sheetView>
  </sheetViews>
  <sheetFormatPr defaultRowHeight="15" x14ac:dyDescent="0.25"/>
  <cols>
    <col min="1" max="1" width="95" customWidth="1"/>
  </cols>
  <sheetData>
    <row r="1" spans="1:4" ht="23.25" x14ac:dyDescent="0.25">
      <c r="A1" s="6" t="s">
        <v>45</v>
      </c>
    </row>
    <row r="2" spans="1:4" ht="15.75" x14ac:dyDescent="0.3">
      <c r="A2" s="7"/>
    </row>
    <row r="3" spans="1:4" ht="18" x14ac:dyDescent="0.25">
      <c r="A3" s="8" t="s">
        <v>46</v>
      </c>
    </row>
    <row r="4" spans="1:4" ht="15.75" x14ac:dyDescent="0.25">
      <c r="A4" s="9"/>
    </row>
    <row r="5" spans="1:4" ht="63" x14ac:dyDescent="0.25">
      <c r="A5" s="10" t="s">
        <v>111</v>
      </c>
    </row>
    <row r="6" spans="1:4" ht="47.25" x14ac:dyDescent="0.25">
      <c r="A6" s="10" t="s">
        <v>110</v>
      </c>
    </row>
    <row r="7" spans="1:4" ht="15.75" x14ac:dyDescent="0.3">
      <c r="A7" s="7"/>
    </row>
    <row r="8" spans="1:4" ht="18" x14ac:dyDescent="0.25">
      <c r="A8" s="8" t="s">
        <v>47</v>
      </c>
    </row>
    <row r="9" spans="1:4" ht="15.75" x14ac:dyDescent="0.25">
      <c r="A9" s="9"/>
    </row>
    <row r="10" spans="1:4" ht="47.25" x14ac:dyDescent="0.25">
      <c r="A10" s="10" t="s">
        <v>109</v>
      </c>
    </row>
    <row r="11" spans="1:4" ht="47.25" x14ac:dyDescent="0.25">
      <c r="A11" s="10" t="s">
        <v>105</v>
      </c>
    </row>
    <row r="12" spans="1:4" ht="31.5" x14ac:dyDescent="0.25">
      <c r="A12" s="10" t="s">
        <v>106</v>
      </c>
    </row>
    <row r="13" spans="1:4" ht="15.75" x14ac:dyDescent="0.3">
      <c r="A13" s="7"/>
    </row>
    <row r="14" spans="1:4" ht="18" x14ac:dyDescent="0.25">
      <c r="A14" s="8" t="s">
        <v>48</v>
      </c>
      <c r="D14" s="4"/>
    </row>
    <row r="15" spans="1:4" ht="15.75" x14ac:dyDescent="0.25">
      <c r="A15" s="9"/>
      <c r="D15" s="4"/>
    </row>
    <row r="16" spans="1:4" ht="78.75" x14ac:dyDescent="0.25">
      <c r="A16" s="10" t="s">
        <v>107</v>
      </c>
      <c r="D16" s="4"/>
    </row>
    <row r="17" spans="1:4" ht="47.25" x14ac:dyDescent="0.25">
      <c r="A17" s="10" t="s">
        <v>108</v>
      </c>
    </row>
    <row r="18" spans="1:4" ht="63" x14ac:dyDescent="0.25">
      <c r="A18" s="10" t="s">
        <v>112</v>
      </c>
      <c r="D18" s="4"/>
    </row>
    <row r="19" spans="1:4" ht="15.75" x14ac:dyDescent="0.3">
      <c r="A19" s="7"/>
      <c r="D19" s="4"/>
    </row>
    <row r="20" spans="1:4" ht="18" x14ac:dyDescent="0.25">
      <c r="A20" s="8" t="s">
        <v>49</v>
      </c>
    </row>
    <row r="21" spans="1:4" ht="15.75" x14ac:dyDescent="0.25">
      <c r="A21" s="9"/>
    </row>
    <row r="22" spans="1:4" ht="47.25" x14ac:dyDescent="0.25">
      <c r="A22" s="10" t="s">
        <v>113</v>
      </c>
      <c r="D22" s="4"/>
    </row>
    <row r="23" spans="1:4" ht="63" x14ac:dyDescent="0.25">
      <c r="A23" s="10" t="s">
        <v>114</v>
      </c>
      <c r="D23" s="4"/>
    </row>
    <row r="24" spans="1:4" ht="47.25" x14ac:dyDescent="0.25">
      <c r="A24" s="10" t="s">
        <v>115</v>
      </c>
      <c r="D24" s="4"/>
    </row>
    <row r="25" spans="1:4" ht="15.75" x14ac:dyDescent="0.3">
      <c r="A25" s="7"/>
      <c r="D25" s="4"/>
    </row>
    <row r="26" spans="1:4" ht="18" x14ac:dyDescent="0.25">
      <c r="A26" s="8" t="s">
        <v>50</v>
      </c>
      <c r="D26" s="4"/>
    </row>
    <row r="27" spans="1:4" ht="15.75" x14ac:dyDescent="0.25">
      <c r="A27" s="9"/>
    </row>
    <row r="28" spans="1:4" ht="63" x14ac:dyDescent="0.25">
      <c r="A28" s="10" t="s">
        <v>116</v>
      </c>
    </row>
    <row r="29" spans="1:4" ht="15.75" x14ac:dyDescent="0.3">
      <c r="A29" s="7"/>
    </row>
    <row r="30" spans="1:4" ht="18" x14ac:dyDescent="0.25">
      <c r="A30" s="8" t="s">
        <v>51</v>
      </c>
    </row>
    <row r="31" spans="1:4" ht="15.75" x14ac:dyDescent="0.25">
      <c r="A31" s="9"/>
    </row>
    <row r="32" spans="1:4" ht="78.75" x14ac:dyDescent="0.25">
      <c r="A32" s="10" t="s">
        <v>117</v>
      </c>
    </row>
    <row r="33" spans="1:1" ht="126" x14ac:dyDescent="0.25">
      <c r="A33" s="10" t="s">
        <v>137</v>
      </c>
    </row>
    <row r="34" spans="1:1" ht="31.5" x14ac:dyDescent="0.25">
      <c r="A34" s="10" t="s">
        <v>52</v>
      </c>
    </row>
    <row r="35" spans="1:1" ht="15.75" x14ac:dyDescent="0.3">
      <c r="A35" s="7"/>
    </row>
    <row r="36" spans="1:1" ht="18" x14ac:dyDescent="0.25">
      <c r="A36" s="8" t="s">
        <v>53</v>
      </c>
    </row>
    <row r="37" spans="1:1" ht="15.75" x14ac:dyDescent="0.25">
      <c r="A37" s="9"/>
    </row>
    <row r="38" spans="1:1" ht="31.5" x14ac:dyDescent="0.25">
      <c r="A38" s="10" t="s">
        <v>54</v>
      </c>
    </row>
    <row r="39" spans="1:1" ht="31.5" x14ac:dyDescent="0.25">
      <c r="A39" s="10" t="s">
        <v>55</v>
      </c>
    </row>
    <row r="40" spans="1:1" ht="15.75" x14ac:dyDescent="0.3">
      <c r="A40" s="7"/>
    </row>
    <row r="41" spans="1:1" ht="18" x14ac:dyDescent="0.25">
      <c r="A41" s="8" t="s">
        <v>56</v>
      </c>
    </row>
    <row r="42" spans="1:1" ht="15.75" x14ac:dyDescent="0.25">
      <c r="A42" s="9"/>
    </row>
    <row r="43" spans="1:1" ht="31.5" x14ac:dyDescent="0.25">
      <c r="A43" s="10" t="s">
        <v>57</v>
      </c>
    </row>
    <row r="47" spans="1:1" x14ac:dyDescent="0.25">
      <c r="A47" s="11" t="s">
        <v>58</v>
      </c>
    </row>
    <row r="48" spans="1:1" x14ac:dyDescent="0.25">
      <c r="A48" s="12"/>
    </row>
    <row r="49" spans="1:1" ht="28.5" x14ac:dyDescent="0.25">
      <c r="A49" s="13" t="s">
        <v>59</v>
      </c>
    </row>
    <row r="50" spans="1:1" ht="28.5" x14ac:dyDescent="0.25">
      <c r="A50" s="13" t="s">
        <v>60</v>
      </c>
    </row>
    <row r="51" spans="1:1" ht="28.5" x14ac:dyDescent="0.25">
      <c r="A51" s="13" t="s">
        <v>61</v>
      </c>
    </row>
    <row r="52" spans="1:1" ht="28.5" x14ac:dyDescent="0.25">
      <c r="A52" s="13" t="s">
        <v>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B371D-9EBE-4760-85F7-5962DE4EFBE7}">
  <dimension ref="V1:AE39"/>
  <sheetViews>
    <sheetView showGridLines="0" tabSelected="1" zoomScale="85" zoomScaleNormal="85" zoomScaleSheetLayoutView="85" workbookViewId="0">
      <selection activeCell="Y1" sqref="Y1:AE39"/>
    </sheetView>
  </sheetViews>
  <sheetFormatPr defaultRowHeight="15" x14ac:dyDescent="0.25"/>
  <cols>
    <col min="21" max="21" width="1.7109375" customWidth="1"/>
    <col min="22" max="22" width="0.42578125" hidden="1" customWidth="1"/>
    <col min="23" max="23" width="35.28515625" hidden="1" customWidth="1"/>
    <col min="24" max="24" width="7.140625" hidden="1" customWidth="1"/>
    <col min="25" max="26" width="9.140625" customWidth="1"/>
    <col min="31" max="31" width="9.140625" customWidth="1"/>
  </cols>
  <sheetData>
    <row r="1" spans="22:31" ht="5.25" customHeight="1" x14ac:dyDescent="0.25">
      <c r="Y1" s="26" t="s">
        <v>118</v>
      </c>
      <c r="Z1" s="26"/>
      <c r="AA1" s="26"/>
      <c r="AB1" s="26"/>
      <c r="AC1" s="26"/>
      <c r="AD1" s="26"/>
      <c r="AE1" s="26"/>
    </row>
    <row r="2" spans="22:31" x14ac:dyDescent="0.25">
      <c r="Y2" s="26"/>
      <c r="Z2" s="26"/>
      <c r="AA2" s="26"/>
      <c r="AB2" s="26"/>
      <c r="AC2" s="26"/>
      <c r="AD2" s="26"/>
      <c r="AE2" s="26"/>
    </row>
    <row r="3" spans="22:31" x14ac:dyDescent="0.25">
      <c r="Y3" s="26"/>
      <c r="Z3" s="26"/>
      <c r="AA3" s="26"/>
      <c r="AB3" s="26"/>
      <c r="AC3" s="26"/>
      <c r="AD3" s="26"/>
      <c r="AE3" s="26"/>
    </row>
    <row r="4" spans="22:31" x14ac:dyDescent="0.25">
      <c r="Y4" s="26"/>
      <c r="Z4" s="26"/>
      <c r="AA4" s="26"/>
      <c r="AB4" s="26"/>
      <c r="AC4" s="26"/>
      <c r="AD4" s="26"/>
      <c r="AE4" s="26"/>
    </row>
    <row r="5" spans="22:31" x14ac:dyDescent="0.25">
      <c r="Y5" s="26"/>
      <c r="Z5" s="26"/>
      <c r="AA5" s="26"/>
      <c r="AB5" s="26"/>
      <c r="AC5" s="26"/>
      <c r="AD5" s="26"/>
      <c r="AE5" s="26"/>
    </row>
    <row r="6" spans="22:31" x14ac:dyDescent="0.25">
      <c r="Y6" s="26"/>
      <c r="Z6" s="26"/>
      <c r="AA6" s="26"/>
      <c r="AB6" s="26"/>
      <c r="AC6" s="26"/>
      <c r="AD6" s="26"/>
      <c r="AE6" s="26"/>
    </row>
    <row r="7" spans="22:31" x14ac:dyDescent="0.25">
      <c r="W7" t="s">
        <v>103</v>
      </c>
      <c r="Y7" s="26"/>
      <c r="Z7" s="26"/>
      <c r="AA7" s="26"/>
      <c r="AB7" s="26"/>
      <c r="AC7" s="26"/>
      <c r="AD7" s="26"/>
      <c r="AE7" s="26"/>
    </row>
    <row r="8" spans="22:31" x14ac:dyDescent="0.25">
      <c r="V8" s="17"/>
      <c r="Y8" s="26"/>
      <c r="Z8" s="26"/>
      <c r="AA8" s="26"/>
      <c r="AB8" s="26"/>
      <c r="AC8" s="26"/>
      <c r="AD8" s="26"/>
      <c r="AE8" s="26"/>
    </row>
    <row r="9" spans="22:31" x14ac:dyDescent="0.25">
      <c r="Y9" s="26"/>
      <c r="Z9" s="26"/>
      <c r="AA9" s="26"/>
      <c r="AB9" s="26"/>
      <c r="AC9" s="26"/>
      <c r="AD9" s="26"/>
      <c r="AE9" s="26"/>
    </row>
    <row r="10" spans="22:31" x14ac:dyDescent="0.25">
      <c r="Y10" s="26"/>
      <c r="Z10" s="26"/>
      <c r="AA10" s="26"/>
      <c r="AB10" s="26"/>
      <c r="AC10" s="26"/>
      <c r="AD10" s="26"/>
      <c r="AE10" s="26"/>
    </row>
    <row r="11" spans="22:31" x14ac:dyDescent="0.25">
      <c r="W11" s="18" t="s">
        <v>101</v>
      </c>
      <c r="X11">
        <f>COUNT('Work Sheet'!A:A)</f>
        <v>1000</v>
      </c>
      <c r="Y11" s="26"/>
      <c r="Z11" s="26"/>
      <c r="AA11" s="26"/>
      <c r="AB11" s="26"/>
      <c r="AC11" s="26"/>
      <c r="AD11" s="26"/>
      <c r="AE11" s="26"/>
    </row>
    <row r="12" spans="22:31" x14ac:dyDescent="0.25">
      <c r="W12" s="18" t="s">
        <v>100</v>
      </c>
      <c r="X12">
        <f>COUNTIF('Work Sheet'!N:N,"Yes")</f>
        <v>481</v>
      </c>
      <c r="Y12" s="26"/>
      <c r="Z12" s="26"/>
      <c r="AA12" s="26"/>
      <c r="AB12" s="26"/>
      <c r="AC12" s="26"/>
      <c r="AD12" s="26"/>
      <c r="AE12" s="26"/>
    </row>
    <row r="13" spans="22:31" x14ac:dyDescent="0.25">
      <c r="W13" s="18" t="s">
        <v>102</v>
      </c>
      <c r="X13" s="16">
        <f>GETPIVOTDATA("ID",Pivot!$G$4,"Purchased Bike","Yes")</f>
        <v>0.48099999999999998</v>
      </c>
      <c r="Y13" s="26"/>
      <c r="Z13" s="26"/>
      <c r="AA13" s="26"/>
      <c r="AB13" s="26"/>
      <c r="AC13" s="26"/>
      <c r="AD13" s="26"/>
      <c r="AE13" s="26"/>
    </row>
    <row r="14" spans="22:31" x14ac:dyDescent="0.25">
      <c r="Y14" s="26"/>
      <c r="Z14" s="26"/>
      <c r="AA14" s="26"/>
      <c r="AB14" s="26"/>
      <c r="AC14" s="26"/>
      <c r="AD14" s="26"/>
      <c r="AE14" s="26"/>
    </row>
    <row r="15" spans="22:31" x14ac:dyDescent="0.25">
      <c r="Y15" s="26"/>
      <c r="Z15" s="26"/>
      <c r="AA15" s="26"/>
      <c r="AB15" s="26"/>
      <c r="AC15" s="26"/>
      <c r="AD15" s="26"/>
      <c r="AE15" s="26"/>
    </row>
    <row r="16" spans="22:31" x14ac:dyDescent="0.25">
      <c r="Y16" s="26"/>
      <c r="Z16" s="26"/>
      <c r="AA16" s="26"/>
      <c r="AB16" s="26"/>
      <c r="AC16" s="26"/>
      <c r="AD16" s="26"/>
      <c r="AE16" s="26"/>
    </row>
    <row r="17" spans="23:31" x14ac:dyDescent="0.25">
      <c r="W17" t="s">
        <v>67</v>
      </c>
      <c r="Y17" s="26"/>
      <c r="Z17" s="26"/>
      <c r="AA17" s="26"/>
      <c r="AB17" s="26"/>
      <c r="AC17" s="26"/>
      <c r="AD17" s="26"/>
      <c r="AE17" s="26"/>
    </row>
    <row r="18" spans="23:31" x14ac:dyDescent="0.25">
      <c r="W18" t="s">
        <v>69</v>
      </c>
      <c r="Y18" s="26"/>
      <c r="Z18" s="26"/>
      <c r="AA18" s="26"/>
      <c r="AB18" s="26"/>
      <c r="AC18" s="26"/>
      <c r="AD18" s="26"/>
      <c r="AE18" s="26"/>
    </row>
    <row r="19" spans="23:31" x14ac:dyDescent="0.25">
      <c r="W19" t="s">
        <v>72</v>
      </c>
      <c r="Y19" s="26"/>
      <c r="Z19" s="26"/>
      <c r="AA19" s="26"/>
      <c r="AB19" s="26"/>
      <c r="AC19" s="26"/>
      <c r="AD19" s="26"/>
      <c r="AE19" s="26"/>
    </row>
    <row r="20" spans="23:31" x14ac:dyDescent="0.25">
      <c r="W20" t="s">
        <v>76</v>
      </c>
      <c r="Y20" s="26"/>
      <c r="Z20" s="26"/>
      <c r="AA20" s="26"/>
      <c r="AB20" s="26"/>
      <c r="AC20" s="26"/>
      <c r="AD20" s="26"/>
      <c r="AE20" s="26"/>
    </row>
    <row r="21" spans="23:31" x14ac:dyDescent="0.25">
      <c r="W21" t="s">
        <v>81</v>
      </c>
      <c r="Y21" s="26"/>
      <c r="Z21" s="26"/>
      <c r="AA21" s="26"/>
      <c r="AB21" s="26"/>
      <c r="AC21" s="26"/>
      <c r="AD21" s="26"/>
      <c r="AE21" s="26"/>
    </row>
    <row r="22" spans="23:31" x14ac:dyDescent="0.25">
      <c r="W22" t="s">
        <v>97</v>
      </c>
      <c r="Y22" s="26"/>
      <c r="Z22" s="26"/>
      <c r="AA22" s="26"/>
      <c r="AB22" s="26"/>
      <c r="AC22" s="26"/>
      <c r="AD22" s="26"/>
      <c r="AE22" s="26"/>
    </row>
    <row r="23" spans="23:31" x14ac:dyDescent="0.25">
      <c r="Y23" s="26"/>
      <c r="Z23" s="26"/>
      <c r="AA23" s="26"/>
      <c r="AB23" s="26"/>
      <c r="AC23" s="26"/>
      <c r="AD23" s="26"/>
      <c r="AE23" s="26"/>
    </row>
    <row r="24" spans="23:31" x14ac:dyDescent="0.25">
      <c r="Y24" s="26"/>
      <c r="Z24" s="26"/>
      <c r="AA24" s="26"/>
      <c r="AB24" s="26"/>
      <c r="AC24" s="26"/>
      <c r="AD24" s="26"/>
      <c r="AE24" s="26"/>
    </row>
    <row r="25" spans="23:31" x14ac:dyDescent="0.25">
      <c r="W25" s="24">
        <f>GETPIVOTDATA("Purchase Flag",Pivot!$I$162)</f>
        <v>0.48099999999999998</v>
      </c>
      <c r="Y25" s="26"/>
      <c r="Z25" s="26"/>
      <c r="AA25" s="26"/>
      <c r="AB25" s="26"/>
      <c r="AC25" s="26"/>
      <c r="AD25" s="26"/>
      <c r="AE25" s="26"/>
    </row>
    <row r="26" spans="23:31" x14ac:dyDescent="0.25">
      <c r="Y26" s="26"/>
      <c r="Z26" s="26"/>
      <c r="AA26" s="26"/>
      <c r="AB26" s="26"/>
      <c r="AC26" s="26"/>
      <c r="AD26" s="26"/>
      <c r="AE26" s="26"/>
    </row>
    <row r="27" spans="23:31" x14ac:dyDescent="0.25">
      <c r="Y27" s="26"/>
      <c r="Z27" s="26"/>
      <c r="AA27" s="26"/>
      <c r="AB27" s="26"/>
      <c r="AC27" s="26"/>
      <c r="AD27" s="26"/>
      <c r="AE27" s="26"/>
    </row>
    <row r="28" spans="23:31" x14ac:dyDescent="0.25">
      <c r="Y28" s="26"/>
      <c r="Z28" s="26"/>
      <c r="AA28" s="26"/>
      <c r="AB28" s="26"/>
      <c r="AC28" s="26"/>
      <c r="AD28" s="26"/>
      <c r="AE28" s="26"/>
    </row>
    <row r="29" spans="23:31" x14ac:dyDescent="0.25">
      <c r="Y29" s="26"/>
      <c r="Z29" s="26"/>
      <c r="AA29" s="26"/>
      <c r="AB29" s="26"/>
      <c r="AC29" s="26"/>
      <c r="AD29" s="26"/>
      <c r="AE29" s="26"/>
    </row>
    <row r="30" spans="23:31" x14ac:dyDescent="0.25">
      <c r="X30" t="s">
        <v>103</v>
      </c>
      <c r="Y30" s="26"/>
      <c r="Z30" s="26"/>
      <c r="AA30" s="26"/>
      <c r="AB30" s="26"/>
      <c r="AC30" s="26"/>
      <c r="AD30" s="26"/>
      <c r="AE30" s="26"/>
    </row>
    <row r="31" spans="23:31" x14ac:dyDescent="0.25">
      <c r="W31" t="s">
        <v>103</v>
      </c>
      <c r="Y31" s="26"/>
      <c r="Z31" s="26"/>
      <c r="AA31" s="26"/>
      <c r="AB31" s="26"/>
      <c r="AC31" s="26"/>
      <c r="AD31" s="26"/>
      <c r="AE31" s="26"/>
    </row>
    <row r="32" spans="23:31" x14ac:dyDescent="0.25">
      <c r="Y32" s="26"/>
      <c r="Z32" s="26"/>
      <c r="AA32" s="26"/>
      <c r="AB32" s="26"/>
      <c r="AC32" s="26"/>
      <c r="AD32" s="26"/>
      <c r="AE32" s="26"/>
    </row>
    <row r="33" spans="25:31" x14ac:dyDescent="0.25">
      <c r="Y33" s="26"/>
      <c r="Z33" s="26"/>
      <c r="AA33" s="26"/>
      <c r="AB33" s="26"/>
      <c r="AC33" s="26"/>
      <c r="AD33" s="26"/>
      <c r="AE33" s="26"/>
    </row>
    <row r="34" spans="25:31" x14ac:dyDescent="0.25">
      <c r="Y34" s="26"/>
      <c r="Z34" s="26"/>
      <c r="AA34" s="26"/>
      <c r="AB34" s="26"/>
      <c r="AC34" s="26"/>
      <c r="AD34" s="26"/>
      <c r="AE34" s="26"/>
    </row>
    <row r="35" spans="25:31" x14ac:dyDescent="0.25">
      <c r="Y35" s="26"/>
      <c r="Z35" s="26"/>
      <c r="AA35" s="26"/>
      <c r="AB35" s="26"/>
      <c r="AC35" s="26"/>
      <c r="AD35" s="26"/>
      <c r="AE35" s="26"/>
    </row>
    <row r="36" spans="25:31" x14ac:dyDescent="0.25">
      <c r="Y36" s="26"/>
      <c r="Z36" s="26"/>
      <c r="AA36" s="26"/>
      <c r="AB36" s="26"/>
      <c r="AC36" s="26"/>
      <c r="AD36" s="26"/>
      <c r="AE36" s="26"/>
    </row>
    <row r="37" spans="25:31" x14ac:dyDescent="0.25">
      <c r="Y37" s="26"/>
      <c r="Z37" s="26"/>
      <c r="AA37" s="26"/>
      <c r="AB37" s="26"/>
      <c r="AC37" s="26"/>
      <c r="AD37" s="26"/>
      <c r="AE37" s="26"/>
    </row>
    <row r="38" spans="25:31" x14ac:dyDescent="0.25">
      <c r="Y38" s="26"/>
      <c r="Z38" s="26"/>
      <c r="AA38" s="26"/>
      <c r="AB38" s="26"/>
      <c r="AC38" s="26"/>
      <c r="AD38" s="26"/>
      <c r="AE38" s="26"/>
    </row>
    <row r="39" spans="25:31" ht="9" customHeight="1" x14ac:dyDescent="0.25">
      <c r="Y39" s="26"/>
      <c r="Z39" s="26"/>
      <c r="AA39" s="26"/>
      <c r="AB39" s="26"/>
      <c r="AC39" s="26"/>
      <c r="AD39" s="26"/>
      <c r="AE39" s="26"/>
    </row>
  </sheetData>
  <mergeCells count="1">
    <mergeCell ref="Y1:AE39"/>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Metadata/LabelInfo.xml><?xml version="1.0" encoding="utf-8"?>
<clbl:labelList xmlns:clbl="http://schemas.microsoft.com/office/2020/mipLabelMetadata">
  <clbl:label id="{1ada0a2f-b917-4d51-b0d0-d418a10c8b23}" enabled="1" method="Standard" siteId="{12a3af23-a769-4654-847f-958f3d479f4a}"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Work Sheet</vt:lpstr>
      <vt:lpstr>ASSIGNMENT</vt:lpstr>
      <vt:lpstr>Dashboard1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Babatunde,Raphael,NG-Agbara</dc:creator>
  <cp:lastModifiedBy>Babatunde,Raphael,NG-Agbara</cp:lastModifiedBy>
  <cp:lastPrinted>2026-01-12T13:52:46Z</cp:lastPrinted>
  <dcterms:created xsi:type="dcterms:W3CDTF">2022-03-18T02:50:57Z</dcterms:created>
  <dcterms:modified xsi:type="dcterms:W3CDTF">2026-02-10T08:22:59Z</dcterms:modified>
</cp:coreProperties>
</file>